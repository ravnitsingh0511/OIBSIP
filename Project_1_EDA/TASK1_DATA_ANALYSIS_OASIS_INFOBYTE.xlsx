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nit singh\Documents\"/>
    </mc:Choice>
  </mc:AlternateContent>
  <xr:revisionPtr revIDLastSave="0" documentId="8_{B151B164-8FDF-458A-9641-08CEB5E3F0CC}" xr6:coauthVersionLast="47" xr6:coauthVersionMax="47" xr10:uidLastSave="{00000000-0000-0000-0000-000000000000}"/>
  <bookViews>
    <workbookView xWindow="-108" yWindow="-108" windowWidth="23256" windowHeight="12456" xr2:uid="{62FEEB87-F879-4ED3-A83A-6A04E4DBDD6F}"/>
  </bookViews>
  <sheets>
    <sheet name="Raw_Data" sheetId="1" r:id="rId1"/>
    <sheet name="Data_Description" sheetId="2" r:id="rId2"/>
    <sheet name="Statistics " sheetId="3" r:id="rId3"/>
    <sheet name="Protein_Analysis" sheetId="5" r:id="rId4"/>
    <sheet name="Calories_Analysis" sheetId="4" r:id="rId5"/>
    <sheet name="Fats_Analysis" sheetId="6" r:id="rId6"/>
    <sheet name="Insights_Recommendations" sheetId="8" r:id="rId7"/>
  </sheets>
  <definedNames>
    <definedName name="_xlnm._FilterDatabase" localSheetId="0" hidden="1">Raw_Data!$A$1:$X$261</definedName>
  </definedNames>
  <calcPr calcId="0"/>
  <pivotCaches>
    <pivotCache cacheId="6" r:id="rId8"/>
  </pivotCaches>
</workbook>
</file>

<file path=xl/calcChain.xml><?xml version="1.0" encoding="utf-8"?>
<calcChain xmlns="http://schemas.openxmlformats.org/spreadsheetml/2006/main">
  <c r="R21" i="3" l="1"/>
  <c r="R22" i="3"/>
  <c r="R23" i="3"/>
  <c r="R24" i="3"/>
</calcChain>
</file>

<file path=xl/sharedStrings.xml><?xml version="1.0" encoding="utf-8"?>
<sst xmlns="http://schemas.openxmlformats.org/spreadsheetml/2006/main" count="932" uniqueCount="473">
  <si>
    <t>Category</t>
  </si>
  <si>
    <t>Item</t>
  </si>
  <si>
    <t>Serving Size</t>
  </si>
  <si>
    <t>Calories</t>
  </si>
  <si>
    <t>Calories from Fat</t>
  </si>
  <si>
    <t>Total Fat</t>
  </si>
  <si>
    <t>Total Fat (% Daily Value)</t>
  </si>
  <si>
    <t>Saturated Fat</t>
  </si>
  <si>
    <t>Saturated Fat (% Daily Value)</t>
  </si>
  <si>
    <t>Trans Fat</t>
  </si>
  <si>
    <t>Cholesterol</t>
  </si>
  <si>
    <t>Cholesterol (% Daily Value)</t>
  </si>
  <si>
    <t>Sodium</t>
  </si>
  <si>
    <t>Sodium (% Daily Value)</t>
  </si>
  <si>
    <t>Carbohydrates</t>
  </si>
  <si>
    <t>Carbohydrates (% Daily Value)</t>
  </si>
  <si>
    <t>Dietary Fiber</t>
  </si>
  <si>
    <t>Dietary Fiber (% Daily Value)</t>
  </si>
  <si>
    <t>Sugars</t>
  </si>
  <si>
    <t>Protein</t>
  </si>
  <si>
    <t>Vitamin A (% Daily Value)</t>
  </si>
  <si>
    <t>Vitamin C (% Daily Value)</t>
  </si>
  <si>
    <t>Calcium (% Daily Value)</t>
  </si>
  <si>
    <t>Iron (% Daily Value)</t>
  </si>
  <si>
    <t>Breakfast</t>
  </si>
  <si>
    <t>Egg McMuffin</t>
  </si>
  <si>
    <t>4.8 oz (136 g)</t>
  </si>
  <si>
    <t>Egg White Delight</t>
  </si>
  <si>
    <t>4.8 oz (135 g)</t>
  </si>
  <si>
    <t>Sausage McMuffin</t>
  </si>
  <si>
    <t>3.9 oz (111 g)</t>
  </si>
  <si>
    <t>Sausage McMuffin with Egg</t>
  </si>
  <si>
    <t>5.7 oz (161 g)</t>
  </si>
  <si>
    <t>Sausage McMuffin with Egg Whites</t>
  </si>
  <si>
    <t>Steak &amp; Egg McMuffin</t>
  </si>
  <si>
    <t>6.5 oz (185 g)</t>
  </si>
  <si>
    <t>Bacon, Egg &amp; Cheese Biscuit (Regular Biscuit)</t>
  </si>
  <si>
    <t>5.3 oz (150 g)</t>
  </si>
  <si>
    <t>Bacon, Egg &amp; Cheese Biscuit (Large Biscuit)</t>
  </si>
  <si>
    <t>5.8 oz (164 g)</t>
  </si>
  <si>
    <t>Bacon, Egg &amp; Cheese Biscuit with Egg Whites (Regular Biscuit)</t>
  </si>
  <si>
    <t>5.4 oz (153 g)</t>
  </si>
  <si>
    <t>Bacon, Egg &amp; Cheese Biscuit with Egg Whites (Large Biscuit)</t>
  </si>
  <si>
    <t>5.9 oz (167 g)</t>
  </si>
  <si>
    <t>Sausage Biscuit (Regular Biscuit)</t>
  </si>
  <si>
    <t>4.1 oz (117 g)</t>
  </si>
  <si>
    <t>Sausage Biscuit (Large Biscuit)</t>
  </si>
  <si>
    <t>4.6 oz (131 g)</t>
  </si>
  <si>
    <t>Sausage Biscuit with Egg (Regular Biscuit)</t>
  </si>
  <si>
    <t>5.7 oz (163 g)</t>
  </si>
  <si>
    <t>Sausage Biscuit with Egg (Large Biscuit)</t>
  </si>
  <si>
    <t>6.2 oz (177 g)</t>
  </si>
  <si>
    <t>Sausage Biscuit with Egg Whites (Regular Biscuit)</t>
  </si>
  <si>
    <t>Sausage Biscuit with Egg Whites (Large Biscuit)</t>
  </si>
  <si>
    <t>6.4 oz (181 g)</t>
  </si>
  <si>
    <t>Southern Style Chicken Biscuit (Regular Biscuit)</t>
  </si>
  <si>
    <t>5 oz (143 g)</t>
  </si>
  <si>
    <t>Southern Style Chicken Biscuit (Large Biscuit)</t>
  </si>
  <si>
    <t>5.5 oz (157 g)</t>
  </si>
  <si>
    <t>Steak &amp; Egg Biscuit (Regular Biscuit)</t>
  </si>
  <si>
    <t>7.1 oz (201 g)</t>
  </si>
  <si>
    <t>Bacon, Egg &amp; Cheese McGriddles</t>
  </si>
  <si>
    <t>6.1 oz (174 g)</t>
  </si>
  <si>
    <t>Bacon, Egg &amp; Cheese McGriddles with Egg Whites</t>
  </si>
  <si>
    <t>6.3 oz (178 g)</t>
  </si>
  <si>
    <t>Sausage McGriddles</t>
  </si>
  <si>
    <t>5 oz (141 g)</t>
  </si>
  <si>
    <t>Sausage, Egg &amp; Cheese McGriddles</t>
  </si>
  <si>
    <t>Sausage, Egg &amp; Cheese McGriddles with Egg Whites</t>
  </si>
  <si>
    <t>7.2 oz (205 g)</t>
  </si>
  <si>
    <t>Bacon, Egg &amp; Cheese Bagel</t>
  </si>
  <si>
    <t>6.9 oz (197 g)</t>
  </si>
  <si>
    <t>Bacon, Egg &amp; Cheese Bagel with Egg Whites</t>
  </si>
  <si>
    <t>Steak, Egg &amp; Cheese Bagel</t>
  </si>
  <si>
    <t>8.5 oz (241 g)</t>
  </si>
  <si>
    <t>Big Breakfast (Regular Biscuit)</t>
  </si>
  <si>
    <t>9.5 oz (269 g)</t>
  </si>
  <si>
    <t>Big Breakfast (Large Biscuit)</t>
  </si>
  <si>
    <t>10 oz (283 g)</t>
  </si>
  <si>
    <t>Big Breakfast with Egg Whites (Regular Biscuit)</t>
  </si>
  <si>
    <t>9.6 oz (272 g)</t>
  </si>
  <si>
    <t>Big Breakfast with Egg Whites (Large Biscuit)</t>
  </si>
  <si>
    <t>10.1 oz (286 g)</t>
  </si>
  <si>
    <t>Big Breakfast with Hotcakes (Regular Biscuit)</t>
  </si>
  <si>
    <t>14.8 oz (420 g)</t>
  </si>
  <si>
    <t>Big Breakfast with Hotcakes (Large Biscuit)</t>
  </si>
  <si>
    <t>15.3 oz (434 g)</t>
  </si>
  <si>
    <t>Big Breakfast with Hotcakes and Egg Whites (Regular Biscuit)</t>
  </si>
  <si>
    <t>14.9 oz (423 g)</t>
  </si>
  <si>
    <t>Big Breakfast with Hotcakes and Egg Whites (Large Biscuit)</t>
  </si>
  <si>
    <t>15.4 oz (437 g)</t>
  </si>
  <si>
    <t>Hotcakes</t>
  </si>
  <si>
    <t>5.3 oz (151 g)</t>
  </si>
  <si>
    <t>Hotcakes and Sausage</t>
  </si>
  <si>
    <t>6.8 oz (192 g)</t>
  </si>
  <si>
    <t>Sausage Burrito</t>
  </si>
  <si>
    <t>Hash Brown</t>
  </si>
  <si>
    <t>2 oz (56 g)</t>
  </si>
  <si>
    <t>Cinnamon Melts</t>
  </si>
  <si>
    <t>4 oz (114 g)</t>
  </si>
  <si>
    <t>Fruit &amp; Maple Oatmeal</t>
  </si>
  <si>
    <t>9.6 oz (251 g)</t>
  </si>
  <si>
    <t>Fruit &amp; Maple Oatmeal without Brown Sugar</t>
  </si>
  <si>
    <t>Beef &amp; Pork</t>
  </si>
  <si>
    <t>Big Mac</t>
  </si>
  <si>
    <t>7.4 oz (211 g)</t>
  </si>
  <si>
    <t>Quarter Pounder with Cheese</t>
  </si>
  <si>
    <t>7.1 oz (202 g)</t>
  </si>
  <si>
    <t>Quarter Pounder with Bacon &amp; Cheese</t>
  </si>
  <si>
    <t>8 oz (227 g)</t>
  </si>
  <si>
    <t>Quarter Pounder with Bacon Habanero Ranch</t>
  </si>
  <si>
    <t>8.3 oz (235 g)</t>
  </si>
  <si>
    <t>Quarter Pounder Deluxe</t>
  </si>
  <si>
    <t>8.6 oz (244 g)</t>
  </si>
  <si>
    <t>Double Quarter Pounder with Cheese</t>
  </si>
  <si>
    <t>Hamburger</t>
  </si>
  <si>
    <t>3.5 oz (98 g)</t>
  </si>
  <si>
    <t>Cheeseburger</t>
  </si>
  <si>
    <t>4 oz (113 g)</t>
  </si>
  <si>
    <t>Double Cheeseburger</t>
  </si>
  <si>
    <t>Bacon Clubhouse Burger</t>
  </si>
  <si>
    <t>9.5 oz (270 g)</t>
  </si>
  <si>
    <t>McDouble</t>
  </si>
  <si>
    <t>5.2 oz (147 g)</t>
  </si>
  <si>
    <t>Bacon McDouble</t>
  </si>
  <si>
    <t>Daily Double</t>
  </si>
  <si>
    <t>6.7 oz (190 g)</t>
  </si>
  <si>
    <t>JalapeÃ±o Double</t>
  </si>
  <si>
    <t>5.6 oz (159 g)</t>
  </si>
  <si>
    <t>McRib</t>
  </si>
  <si>
    <t>7.3 oz (208 g)</t>
  </si>
  <si>
    <t>Chicken &amp; Fish</t>
  </si>
  <si>
    <t>Premium Crispy Chicken Classic Sandwich</t>
  </si>
  <si>
    <t>7.5 oz (213 g)</t>
  </si>
  <si>
    <t>Premium Grilled Chicken Classic Sandwich</t>
  </si>
  <si>
    <t>7 oz (200 g)</t>
  </si>
  <si>
    <t>Premium Crispy Chicken Club Sandwich</t>
  </si>
  <si>
    <t>8.8 oz (249 g)</t>
  </si>
  <si>
    <t>Premium Grilled Chicken Club Sandwich</t>
  </si>
  <si>
    <t>Premium Crispy Chicken Ranch BLT Sandwich</t>
  </si>
  <si>
    <t>8.1 oz (230 g)</t>
  </si>
  <si>
    <t>Premium Grilled Chicken Ranch BLT Sandwich</t>
  </si>
  <si>
    <t>7.6 oz (217 g)</t>
  </si>
  <si>
    <t>Bacon Clubhouse Crispy Chicken Sandwich</t>
  </si>
  <si>
    <t>10 oz (284 g)</t>
  </si>
  <si>
    <t>Bacon Clubhouse Grilled Chicken Sandwich</t>
  </si>
  <si>
    <t>Southern Style Crispy Chicken Sandwich</t>
  </si>
  <si>
    <t>5.6 oz (160 g)</t>
  </si>
  <si>
    <t>McChicken</t>
  </si>
  <si>
    <t>5.1 oz (143 g)</t>
  </si>
  <si>
    <t>Bacon Cheddar McChicken</t>
  </si>
  <si>
    <t>6 oz (171 g)</t>
  </si>
  <si>
    <t>Bacon Buffalo Ranch McChicken</t>
  </si>
  <si>
    <t>Buffalo Ranch McChicken</t>
  </si>
  <si>
    <t>5.2 oz (148 g)</t>
  </si>
  <si>
    <t>Premium McWrap Chicken &amp; Bacon (Crispy Chicken)</t>
  </si>
  <si>
    <t>11.1 oz (316 g)</t>
  </si>
  <si>
    <t>Premium McWrap Chicken &amp; Bacon (Grilled Chicken)</t>
  </si>
  <si>
    <t>10.7 oz (302 g)</t>
  </si>
  <si>
    <t>Premium McWrap Chicken &amp; Ranch (Crispy Chicken)</t>
  </si>
  <si>
    <t>10.9 oz (310 g)</t>
  </si>
  <si>
    <t>Premium McWrap Chicken &amp; Ranch (Grilled Chicken)</t>
  </si>
  <si>
    <t>10.5 oz (297 g)</t>
  </si>
  <si>
    <t>Premium McWrap Southwest Chicken (Crispy Chicken)</t>
  </si>
  <si>
    <t>11.1 oz (314 g)</t>
  </si>
  <si>
    <t>Premium McWrap Southwest Chicken (Grilled Chicken)</t>
  </si>
  <si>
    <t>11.2 oz (318 g)</t>
  </si>
  <si>
    <t>Premium McWrap Chicken Sweet Chili (Crispy Chicken)</t>
  </si>
  <si>
    <t>10.7 oz (304 g)</t>
  </si>
  <si>
    <t>Premium McWrap Chicken Sweet Chili (Grilled Chicken)</t>
  </si>
  <si>
    <t>10.3 oz (291 g)</t>
  </si>
  <si>
    <t>Chicken McNuggets (4 piece)</t>
  </si>
  <si>
    <t>2.3 oz (65 g)</t>
  </si>
  <si>
    <t>Chicken McNuggets (6 piece)</t>
  </si>
  <si>
    <t>3.4 oz (97 g)</t>
  </si>
  <si>
    <t>Chicken McNuggets (10 piece)</t>
  </si>
  <si>
    <t>5.7 oz (162 g)</t>
  </si>
  <si>
    <t>Chicken McNuggets (20 piece)</t>
  </si>
  <si>
    <t>11.4 oz (323 g)</t>
  </si>
  <si>
    <t>Chicken McNuggets (40 piece)</t>
  </si>
  <si>
    <t>22.8 oz (646 g)</t>
  </si>
  <si>
    <t>Filet-O-Fish</t>
  </si>
  <si>
    <t>5 oz (142 g)</t>
  </si>
  <si>
    <t>Salads</t>
  </si>
  <si>
    <t>Premium Bacon Ranch Salad (without Chicken)</t>
  </si>
  <si>
    <t>7.9 oz (223 g)</t>
  </si>
  <si>
    <t>Premium Bacon Ranch Salad with Crispy Chicken</t>
  </si>
  <si>
    <t>9 oz (255 g)</t>
  </si>
  <si>
    <t>Premium Bacon Ranch Salad with Grilled Chicken</t>
  </si>
  <si>
    <t>Premium Southwest Salad (without Chicken)</t>
  </si>
  <si>
    <t>Premium Southwest Salad with Crispy Chicken</t>
  </si>
  <si>
    <t>12.3 oz (348 g)</t>
  </si>
  <si>
    <t>Premium Southwest Salad with Grilled Chicken</t>
  </si>
  <si>
    <t>11.8 oz (335 g)</t>
  </si>
  <si>
    <t>Snacks &amp; Sides</t>
  </si>
  <si>
    <t>Chipotle BBQ Snack Wrap (Crispy Chicken)</t>
  </si>
  <si>
    <t>4.6 oz (130 g)</t>
  </si>
  <si>
    <t>Chipotle BBQ Snack Wrap (Grilled Chicken)</t>
  </si>
  <si>
    <t>4.3 oz (123 g)</t>
  </si>
  <si>
    <t>Honey Mustard Snack Wrap (Crispy Chicken)</t>
  </si>
  <si>
    <t>Honey Mustard Snack Wrap (Grilled Chicken)</t>
  </si>
  <si>
    <t>4.1 oz (116 g)</t>
  </si>
  <si>
    <t>Ranch Snack Wrap (Crispy Chicken)</t>
  </si>
  <si>
    <t>4.5 oz (128 g)</t>
  </si>
  <si>
    <t>Ranch Snack Wrap (Grilled Chicken)</t>
  </si>
  <si>
    <t>4.3 oz (121 g)</t>
  </si>
  <si>
    <t>Small French Fries</t>
  </si>
  <si>
    <t>2.6 oz (75 g)</t>
  </si>
  <si>
    <t>Medium French Fries</t>
  </si>
  <si>
    <t>Large French Fries</t>
  </si>
  <si>
    <t>5.9 oz (168 g)</t>
  </si>
  <si>
    <t>Kids French Fries</t>
  </si>
  <si>
    <t>1.3 oz (38 g)</t>
  </si>
  <si>
    <t>Side Salad</t>
  </si>
  <si>
    <t>3.1 oz (87 g)</t>
  </si>
  <si>
    <t>Apple Slices</t>
  </si>
  <si>
    <t>1.2 oz (34 g)</t>
  </si>
  <si>
    <t>Fruit 'n Yogurt Parfait</t>
  </si>
  <si>
    <t>5.2 oz (149 g)</t>
  </si>
  <si>
    <t>Desserts</t>
  </si>
  <si>
    <t>Baked Apple Pie</t>
  </si>
  <si>
    <t>2.7 oz (77 g)</t>
  </si>
  <si>
    <t>Chocolate Chip Cookie</t>
  </si>
  <si>
    <t>1 cookie (33 g)</t>
  </si>
  <si>
    <t>Oatmeal Raisin Cookie</t>
  </si>
  <si>
    <t>Kids Ice Cream Cone</t>
  </si>
  <si>
    <t>1 oz (29 g)</t>
  </si>
  <si>
    <t>Hot Fudge Sundae</t>
  </si>
  <si>
    <t>6.3 oz (179 g)</t>
  </si>
  <si>
    <t>Hot Caramel Sundae</t>
  </si>
  <si>
    <t>6.4 oz (182 g)</t>
  </si>
  <si>
    <t>Strawberry Sundae</t>
  </si>
  <si>
    <t>Beverages</t>
  </si>
  <si>
    <t>Coca-Cola Classic (Small)</t>
  </si>
  <si>
    <t>16 fl oz cup</t>
  </si>
  <si>
    <t>Coca-Cola Classic (Medium)</t>
  </si>
  <si>
    <t>21 fl oz cup</t>
  </si>
  <si>
    <t>Coca-Cola Classic (Large)</t>
  </si>
  <si>
    <t>30 fl oz cup</t>
  </si>
  <si>
    <t>Coca-Cola Classic (Child)</t>
  </si>
  <si>
    <t>12 fl oz cup</t>
  </si>
  <si>
    <t>Diet Coke (Small)</t>
  </si>
  <si>
    <t>Diet Coke (Medium)</t>
  </si>
  <si>
    <t>Diet Coke (Large)</t>
  </si>
  <si>
    <t>Diet Coke (Child)</t>
  </si>
  <si>
    <t>Dr Pepper (Small)</t>
  </si>
  <si>
    <t>Dr Pepper (Medium)</t>
  </si>
  <si>
    <t>Dr Pepper (Large)</t>
  </si>
  <si>
    <t>Dr Pepper (Child)</t>
  </si>
  <si>
    <t>Diet Dr Pepper (Small)</t>
  </si>
  <si>
    <t>Diet Dr Pepper (Medium)</t>
  </si>
  <si>
    <t>Diet Dr Pepper (Large)</t>
  </si>
  <si>
    <t>Diet Dr Pepper (Child)</t>
  </si>
  <si>
    <t>Sprite (Small)</t>
  </si>
  <si>
    <t>Sprite (Medium)</t>
  </si>
  <si>
    <t>Sprite (Large)</t>
  </si>
  <si>
    <t>Sprite (Child)</t>
  </si>
  <si>
    <t>1% Low Fat Milk Jug</t>
  </si>
  <si>
    <t>1 carton (236 ml)</t>
  </si>
  <si>
    <t>Fat Free Chocolate Milk Jug</t>
  </si>
  <si>
    <t>Minute Maid 100% Apple Juice Box</t>
  </si>
  <si>
    <t>6 fl oz (177 ml)</t>
  </si>
  <si>
    <t>Minute Maid Orange Juice (Small)</t>
  </si>
  <si>
    <t>Minute Maid Orange Juice (Medium)</t>
  </si>
  <si>
    <t>Minute Maid Orange Juice (Large)</t>
  </si>
  <si>
    <t>22 fl oz cup</t>
  </si>
  <si>
    <t>Dasani Water Bottle</t>
  </si>
  <si>
    <t>16.9 fl oz</t>
  </si>
  <si>
    <t>Coffee &amp; Tea</t>
  </si>
  <si>
    <t>Iced Tea (Small)</t>
  </si>
  <si>
    <t>Iced Tea (Medium)</t>
  </si>
  <si>
    <t>Iced Tea (Large)</t>
  </si>
  <si>
    <t>Iced Tea (Child)</t>
  </si>
  <si>
    <t>Sweet Tea (Small)</t>
  </si>
  <si>
    <t>Sweet Tea (Medium)</t>
  </si>
  <si>
    <t>Sweet Tea (Large)</t>
  </si>
  <si>
    <t>Sweet Tea (Child)</t>
  </si>
  <si>
    <t>Coffee (Small)</t>
  </si>
  <si>
    <t>Coffee (Medium)</t>
  </si>
  <si>
    <t>Coffee (Large)</t>
  </si>
  <si>
    <t>Latte (Small)</t>
  </si>
  <si>
    <t>Latte (Medium)</t>
  </si>
  <si>
    <t>Latte (Large)</t>
  </si>
  <si>
    <t>20 fl oz cup</t>
  </si>
  <si>
    <t>Caramel Latte (Small)</t>
  </si>
  <si>
    <t>Caramel Latte (Medium)</t>
  </si>
  <si>
    <t>Caramel Latte (Large)</t>
  </si>
  <si>
    <t>Hazelnut Latte (Small)</t>
  </si>
  <si>
    <t>Hazelnut Latte (Medium)</t>
  </si>
  <si>
    <t>Hazelnut Latte (Large)</t>
  </si>
  <si>
    <t>French Vanilla Latte (Small)</t>
  </si>
  <si>
    <t>French Vanilla Latte (Medium)</t>
  </si>
  <si>
    <t>French Vanilla Latte (Large)</t>
  </si>
  <si>
    <t>Latte with Sugar Free French Vanilla Syrup (Small)</t>
  </si>
  <si>
    <t>Latte with Sugar Free French Vanilla Syrup (Medium)</t>
  </si>
  <si>
    <t>Latte with Sugar Free French Vanilla Syrup (Large)</t>
  </si>
  <si>
    <t>Nonfat Latte (Small)</t>
  </si>
  <si>
    <t>Nonfat Latte (Medium)</t>
  </si>
  <si>
    <t>Nonfat Latte (Large)</t>
  </si>
  <si>
    <t>Nonfat Caramel Latte (Small)</t>
  </si>
  <si>
    <t>Nonfat Caramel Latte (Medium)</t>
  </si>
  <si>
    <t>Nonfat Caramel Latte (Large)</t>
  </si>
  <si>
    <t>Nonfat Hazelnut Latte (Small)</t>
  </si>
  <si>
    <t>Nonfat Hazelnut Latte (Medium)</t>
  </si>
  <si>
    <t>Nonfat Hazelnut Latte (Large)</t>
  </si>
  <si>
    <t>Nonfat French Vanilla Latte (Small)</t>
  </si>
  <si>
    <t>Nonfat French Vanilla Latte (Medium)</t>
  </si>
  <si>
    <t>Nonfat French Vanilla Latte (Large)</t>
  </si>
  <si>
    <t>Nonfat Latte with Sugar Free French Vanilla Syrup (Small)</t>
  </si>
  <si>
    <t>Nonfat Latte with Sugar Free French Vanilla Syrup (Medium)</t>
  </si>
  <si>
    <t>Nonfat Latte with Sugar Free French Vanilla Syrup (Large)</t>
  </si>
  <si>
    <t>Mocha (Small)</t>
  </si>
  <si>
    <t>Mocha (Medium)</t>
  </si>
  <si>
    <t>Mocha (Large)</t>
  </si>
  <si>
    <t>Mocha with Nonfat Milk (Small)</t>
  </si>
  <si>
    <t>Mocha with Nonfat Milk (Medium)</t>
  </si>
  <si>
    <t>Mocha with Nonfat Milk (Large)</t>
  </si>
  <si>
    <t>Caramel Mocha (Small)</t>
  </si>
  <si>
    <t>Caramel Mocha (Medium)</t>
  </si>
  <si>
    <t>Caramel Mocha (Large)</t>
  </si>
  <si>
    <t>Nonfat Caramel Mocha (Small)</t>
  </si>
  <si>
    <t>Nonfat Caramel Mocha (Medium)</t>
  </si>
  <si>
    <t>Nonfat Caramel Mocha (Large)</t>
  </si>
  <si>
    <t>Hot Chocolate (Small)</t>
  </si>
  <si>
    <t>Hot Chocolate (Medium)</t>
  </si>
  <si>
    <t>Hot Chocolate (Large)</t>
  </si>
  <si>
    <t>Hot Chocolate with Nonfat Milk (Small)</t>
  </si>
  <si>
    <t>Hot Chocolate with Nonfat Milk (Medium)</t>
  </si>
  <si>
    <t>Hot Chocolate with Nonfat Milk (Large)</t>
  </si>
  <si>
    <t>Regular Iced Coffee (Small)</t>
  </si>
  <si>
    <t>Regular Iced Coffee (Medium)</t>
  </si>
  <si>
    <t>Regular Iced Coffee (Large)</t>
  </si>
  <si>
    <t>32 fl oz cup</t>
  </si>
  <si>
    <t>Caramel Iced Coffee (Small)</t>
  </si>
  <si>
    <t>Caramel Iced Coffee (Medium)</t>
  </si>
  <si>
    <t>Caramel Iced Coffee (Large)</t>
  </si>
  <si>
    <t>Hazelnut Iced Coffee (Small)</t>
  </si>
  <si>
    <t>Hazelnut Iced Coffee (Medium)</t>
  </si>
  <si>
    <t>Hazelnut Iced Coffee (Large)</t>
  </si>
  <si>
    <t>French Vanilla Iced Coffee (Small)</t>
  </si>
  <si>
    <t>French Vanilla Iced Coffee (Medium)</t>
  </si>
  <si>
    <t>French Vanilla Iced Coffee (Large)</t>
  </si>
  <si>
    <t>Iced Coffee with Sugar Free French Vanilla Syrup (Small)</t>
  </si>
  <si>
    <t>Iced Coffee with Sugar Free French Vanilla Syrup (Medium)</t>
  </si>
  <si>
    <t>Iced Coffee with Sugar Free French Vanilla Syrup (Large)</t>
  </si>
  <si>
    <t>Iced Mocha (Small)</t>
  </si>
  <si>
    <t>Iced Mocha (Medium)</t>
  </si>
  <si>
    <t>Iced Mocha (Large)</t>
  </si>
  <si>
    <t>Iced Mocha with Nonfat Milk (Small)</t>
  </si>
  <si>
    <t>Iced Mocha with Nonfat Milk (Medium)</t>
  </si>
  <si>
    <t>Iced Mocha with Nonfat Milk (Large)</t>
  </si>
  <si>
    <t>Iced Caramel Mocha (Small)</t>
  </si>
  <si>
    <t>Iced Caramel Mocha (Medium)</t>
  </si>
  <si>
    <t>Iced Caramel Mocha (Large)</t>
  </si>
  <si>
    <t>Iced Nonfat Caramel Mocha (Small)</t>
  </si>
  <si>
    <t>Iced Nonfat Caramel Mocha (Medium)</t>
  </si>
  <si>
    <t>Iced Nonfat Caramel Mocha (Large)</t>
  </si>
  <si>
    <t>FrappÃ© Mocha (Small)</t>
  </si>
  <si>
    <t>FrappÃ© Mocha (Medium)</t>
  </si>
  <si>
    <t>FrappÃ© Mocha (Large)</t>
  </si>
  <si>
    <t>FrappÃ© Caramel (Small)</t>
  </si>
  <si>
    <t>FrappÃ© Caramel (Medium)</t>
  </si>
  <si>
    <t>FrappÃ© Caramel (Large)</t>
  </si>
  <si>
    <t>FrappÃ© Chocolate Chip (Small)</t>
  </si>
  <si>
    <t>FrappÃ© Chocolate Chip (Medium)</t>
  </si>
  <si>
    <t>FrappÃ© Chocolate Chip (Large)</t>
  </si>
  <si>
    <t>Smoothies &amp; Shakes</t>
  </si>
  <si>
    <t>Blueberry Pomegranate Smoothie (Small)</t>
  </si>
  <si>
    <t>Blueberry Pomegranate Smoothie (Medium)</t>
  </si>
  <si>
    <t>Blueberry Pomegranate Smoothie (Large)</t>
  </si>
  <si>
    <t>Strawberry Banana Smoothie (Small)</t>
  </si>
  <si>
    <t>Strawberry Banana Smoothie (Medium)</t>
  </si>
  <si>
    <t>Strawberry Banana Smoothie (Large)</t>
  </si>
  <si>
    <t>Mango Pineapple Smoothie (Small)</t>
  </si>
  <si>
    <t>Mango Pineapple Smoothie (Medium)</t>
  </si>
  <si>
    <t>Mango Pineapple Smoothie (Large)</t>
  </si>
  <si>
    <t>Vanilla Shake (Small)</t>
  </si>
  <si>
    <t>Vanilla Shake (Medium)</t>
  </si>
  <si>
    <t>Vanilla Shake (Large)</t>
  </si>
  <si>
    <t>Strawberry Shake (Small)</t>
  </si>
  <si>
    <t>Strawberry Shake (Medium)</t>
  </si>
  <si>
    <t>Strawberry Shake (Large)</t>
  </si>
  <si>
    <t>Chocolate Shake (Small)</t>
  </si>
  <si>
    <t>Chocolate Shake (Medium)</t>
  </si>
  <si>
    <t>Chocolate Shake (Large)</t>
  </si>
  <si>
    <t>Shamrock Shake (Medium)</t>
  </si>
  <si>
    <t>Shamrock Shake (Large)</t>
  </si>
  <si>
    <t>McFlurry with M&amp;Mâ€™s Candies (Small)</t>
  </si>
  <si>
    <t>McFlurry with M&amp;Mâ€™s Candies (Medium)</t>
  </si>
  <si>
    <t>16.2 oz (460 g)</t>
  </si>
  <si>
    <t>McFlurry with M&amp;Mâ€™s Candies (Snack)</t>
  </si>
  <si>
    <t>7.3 oz (207 g)</t>
  </si>
  <si>
    <t>McFlurry with Oreo Cookies (Small)</t>
  </si>
  <si>
    <t>10.1 oz (285 g)</t>
  </si>
  <si>
    <t>McFlurry with Oreo Cookies (Medium)</t>
  </si>
  <si>
    <t>13.4 oz (381 g)</t>
  </si>
  <si>
    <t>McFlurry with Oreo Cookies (Snack)</t>
  </si>
  <si>
    <t>McFlurry with Reese's Peanut Butter Cups (Medium)</t>
  </si>
  <si>
    <t>14.2 oz (403 g)</t>
  </si>
  <si>
    <t>McFlurry with Reese's Peanut Butter Cups (Snack)</t>
  </si>
  <si>
    <t>COLUMN NAME</t>
  </si>
  <si>
    <t>MEANING</t>
  </si>
  <si>
    <t>Food group classification</t>
  </si>
  <si>
    <t>Specific food product</t>
  </si>
  <si>
    <t>Recommended portion amount</t>
  </si>
  <si>
    <t>Total energy content</t>
  </si>
  <si>
    <t>Energy from fat</t>
  </si>
  <si>
    <t>Overall fat content</t>
  </si>
  <si>
    <t>Fat daily percentage</t>
  </si>
  <si>
    <t>Unhealthy solid fat</t>
  </si>
  <si>
    <t>Saturated fat percentage</t>
  </si>
  <si>
    <t>Artificial harmful fat</t>
  </si>
  <si>
    <t>Blood fat substance</t>
  </si>
  <si>
    <t>Cholesterol daily percentage</t>
  </si>
  <si>
    <t>Sodium daily percentage</t>
  </si>
  <si>
    <t>Calcium daily percentage</t>
  </si>
  <si>
    <t>Iron daily percentage</t>
  </si>
  <si>
    <t>Salt mineral content</t>
  </si>
  <si>
    <t>Main energy nutrients</t>
  </si>
  <si>
    <t>Carb daily percentage</t>
  </si>
  <si>
    <t>Digestive plant fiber</t>
  </si>
  <si>
    <t>Fiber daily percentage</t>
  </si>
  <si>
    <t>Simple sweet carbohydrates</t>
  </si>
  <si>
    <t>Body building nutrient</t>
  </si>
  <si>
    <t>Vitamin A percentage</t>
  </si>
  <si>
    <t>Vitamin C percentage</t>
  </si>
  <si>
    <t>Average Calories</t>
  </si>
  <si>
    <t>Median Calories</t>
  </si>
  <si>
    <t>Mode Calories</t>
  </si>
  <si>
    <t>Standard Calories</t>
  </si>
  <si>
    <t>Row Labels</t>
  </si>
  <si>
    <t>Grand Total</t>
  </si>
  <si>
    <t>Average of Calories</t>
  </si>
  <si>
    <t>Average of Protein</t>
  </si>
  <si>
    <t>Average of Total Fat</t>
  </si>
  <si>
    <t>Insight 1</t>
  </si>
  <si>
    <t>McDonald's Menu Analysis- Insights and Recommendations</t>
  </si>
  <si>
    <t>KEY INSIGHTS</t>
  </si>
  <si>
    <t>Insight no.</t>
  </si>
  <si>
    <t>description</t>
  </si>
  <si>
    <t>McDonald's menu categories show significant variation in calorie content, with some categories containing substantially higher average calories than others.</t>
  </si>
  <si>
    <t>Insight 2</t>
  </si>
  <si>
    <t>Protein distribution varies across categories, indicating that certain food groups provide better nutritional value compared to others.</t>
  </si>
  <si>
    <t>Insight 3</t>
  </si>
  <si>
    <t>High-fat content is concentrated in specific menu categories, suggesting potential health concerns for frequent consumption.</t>
  </si>
  <si>
    <t>Insight 4</t>
  </si>
  <si>
    <t>Heatmap analysis reveals several menu items with extremely high calorie and sodium values compared to the overall dataset</t>
  </si>
  <si>
    <t>BUSINESS RECOMMENDATIONS</t>
  </si>
  <si>
    <t>Promote lower-calorie menu options to support health-conscious customers.</t>
  </si>
  <si>
    <t>Recommendation 1:</t>
  </si>
  <si>
    <t>Recommendation 2:</t>
  </si>
  <si>
    <t>Recommendation 3:</t>
  </si>
  <si>
    <t>Recommendation 4:</t>
  </si>
  <si>
    <t>Highlight high-protein food items as healthier alternatives in marketing campaigns.</t>
  </si>
  <si>
    <t>Provide clearer nutritional labeling for high-fat and high-sodium items.</t>
  </si>
  <si>
    <t>Introduce balanced meal combinations to improve overall nutritional intake.</t>
  </si>
  <si>
    <t>LIMITATIONS</t>
  </si>
  <si>
    <t>Dataset does not contain time-based information; therefore, time series analysis could not be performed.</t>
  </si>
  <si>
    <t>AVERAGE PROTEIN BY FOOD CATEGORY</t>
  </si>
  <si>
    <t>AVERAGE CALORIES BY FOOD CATEGORY</t>
  </si>
  <si>
    <t>AVERAGE TOTAL FAT BY FOOD CATEGORY</t>
  </si>
  <si>
    <t>Statistics</t>
  </si>
  <si>
    <t>values</t>
  </si>
  <si>
    <t>Descriptive Statistical Summary of Nutritional Data</t>
  </si>
  <si>
    <t>AVERAGE</t>
  </si>
  <si>
    <t>MEDIAN</t>
  </si>
  <si>
    <t>MINIMUM</t>
  </si>
  <si>
    <t>MAXIMUM</t>
  </si>
  <si>
    <t>STD DEVIATION</t>
  </si>
  <si>
    <t>PROTEIN</t>
  </si>
  <si>
    <t>CALORIES</t>
  </si>
  <si>
    <t>TOTAL FATS</t>
  </si>
  <si>
    <t>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</si>
</sst>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/>
    <xf numFmtId="0" fontId="19" fillId="0" borderId="0" xfId="0" applyFont="1"/>
    <xf numFmtId="0" fontId="19" fillId="0" borderId="0" xfId="0" pivotButton="1" applyFont="1"/>
    <xf numFmtId="0" fontId="21" fillId="0" borderId="0" xfId="0" applyFont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0" fillId="0" borderId="0" xfId="0" applyFont="1" applyAlignment="1"/>
    <xf numFmtId="0" fontId="23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[TASK1_DATA_ANALYSIS_OASIS_INFOBYTE.xlsx]Protein_Analysis!PivotTable2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Protein by  Food Catagory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Protein_Analysis!$B$3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Protein_Analysis!$A$4:$A$13</c:f>
              <c:strCache>
                <c:ptCount val="9"/>
                <c:pt idx="0">
                  <c:v>Beef &amp; Pork</c:v>
                </c:pt>
                <c:pt idx="1">
                  <c:v>Beverages</c:v>
                </c:pt>
                <c:pt idx="2">
                  <c:v>Breakfast</c:v>
                </c:pt>
                <c:pt idx="3">
                  <c:v>Chicken &amp; Fish</c:v>
                </c:pt>
                <c:pt idx="4">
                  <c:v>Coffee &amp; Tea</c:v>
                </c:pt>
                <c:pt idx="5">
                  <c:v>Desserts</c:v>
                </c:pt>
                <c:pt idx="6">
                  <c:v>Salads</c:v>
                </c:pt>
                <c:pt idx="7">
                  <c:v>Smoothies &amp; Shakes</c:v>
                </c:pt>
                <c:pt idx="8">
                  <c:v>Snacks &amp; Sides</c:v>
                </c:pt>
              </c:strCache>
            </c:strRef>
          </c:cat>
          <c:val>
            <c:numRef>
              <c:f>Protein_Analysis!$B$4:$B$13</c:f>
              <c:numCache>
                <c:formatCode>General</c:formatCode>
                <c:ptCount val="9"/>
                <c:pt idx="0">
                  <c:v>27.333333333333332</c:v>
                </c:pt>
                <c:pt idx="1">
                  <c:v>1.3333333333333333</c:v>
                </c:pt>
                <c:pt idx="2">
                  <c:v>19.857142857142858</c:v>
                </c:pt>
                <c:pt idx="3">
                  <c:v>29.111111111111111</c:v>
                </c:pt>
                <c:pt idx="4">
                  <c:v>8.8631578947368421</c:v>
                </c:pt>
                <c:pt idx="5">
                  <c:v>4</c:v>
                </c:pt>
                <c:pt idx="6">
                  <c:v>19.833333333333332</c:v>
                </c:pt>
                <c:pt idx="7">
                  <c:v>10.857142857142858</c:v>
                </c:pt>
                <c:pt idx="8">
                  <c:v>8.384615384615385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A-482D-9FF3-92F0D2E86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6430048"/>
        <c:axId val="516427648"/>
      </c:barChart>
      <c:catAx>
        <c:axId val="51643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427648"/>
        <c:crosses val="autoZero"/>
        <c:auto val="1"/>
        <c:lblAlgn val="ctr"/>
        <c:lblOffset val="100"/>
        <c:noMultiLvlLbl val="0"/>
      </c:catAx>
      <c:valAx>
        <c:axId val="51642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43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[TASK1_DATA_ANALYSIS_OASIS_INFOBYTE.xlsx]Calories_Analysis!PivotTable1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Calories By Food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Calories_Analysis!$B$3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Calories_Analysis!$A$4:$A$13</c:f>
              <c:strCache>
                <c:ptCount val="9"/>
                <c:pt idx="0">
                  <c:v>Beef &amp; Pork</c:v>
                </c:pt>
                <c:pt idx="1">
                  <c:v>Beverages</c:v>
                </c:pt>
                <c:pt idx="2">
                  <c:v>Breakfast</c:v>
                </c:pt>
                <c:pt idx="3">
                  <c:v>Chicken &amp; Fish</c:v>
                </c:pt>
                <c:pt idx="4">
                  <c:v>Coffee &amp; Tea</c:v>
                </c:pt>
                <c:pt idx="5">
                  <c:v>Desserts</c:v>
                </c:pt>
                <c:pt idx="6">
                  <c:v>Salads</c:v>
                </c:pt>
                <c:pt idx="7">
                  <c:v>Smoothies &amp; Shakes</c:v>
                </c:pt>
                <c:pt idx="8">
                  <c:v>Snacks &amp; Sides</c:v>
                </c:pt>
              </c:strCache>
            </c:strRef>
          </c:cat>
          <c:val>
            <c:numRef>
              <c:f>Calories_Analysis!$B$4:$B$13</c:f>
              <c:numCache>
                <c:formatCode>General</c:formatCode>
                <c:ptCount val="9"/>
                <c:pt idx="0">
                  <c:v>494</c:v>
                </c:pt>
                <c:pt idx="1">
                  <c:v>113.70370370370371</c:v>
                </c:pt>
                <c:pt idx="2">
                  <c:v>526.66666666666663</c:v>
                </c:pt>
                <c:pt idx="3">
                  <c:v>552.96296296296293</c:v>
                </c:pt>
                <c:pt idx="4">
                  <c:v>283.89473684210526</c:v>
                </c:pt>
                <c:pt idx="5">
                  <c:v>222.14285714285714</c:v>
                </c:pt>
                <c:pt idx="6">
                  <c:v>270</c:v>
                </c:pt>
                <c:pt idx="7">
                  <c:v>531.42857142857144</c:v>
                </c:pt>
                <c:pt idx="8">
                  <c:v>245.76923076923077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8-42F1-BBC0-6FEFE6869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4290000"/>
        <c:axId val="784290480"/>
      </c:barChart>
      <c:catAx>
        <c:axId val="78429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290480"/>
        <c:crosses val="autoZero"/>
        <c:auto val="1"/>
        <c:lblAlgn val="ctr"/>
        <c:lblOffset val="100"/>
        <c:noMultiLvlLbl val="0"/>
      </c:catAx>
      <c:valAx>
        <c:axId val="78429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29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[TASK1_DATA_ANALYSIS_OASIS_INFOBYTE.xlsx]Fats_Analysis!PivotTable3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Total Fat by Food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Fats_Analysis!$B$3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Fats_Analysis!$A$4:$A$13</c:f>
              <c:strCache>
                <c:ptCount val="9"/>
                <c:pt idx="0">
                  <c:v>Beef &amp; Pork</c:v>
                </c:pt>
                <c:pt idx="1">
                  <c:v>Beverages</c:v>
                </c:pt>
                <c:pt idx="2">
                  <c:v>Breakfast</c:v>
                </c:pt>
                <c:pt idx="3">
                  <c:v>Chicken &amp; Fish</c:v>
                </c:pt>
                <c:pt idx="4">
                  <c:v>Coffee &amp; Tea</c:v>
                </c:pt>
                <c:pt idx="5">
                  <c:v>Desserts</c:v>
                </c:pt>
                <c:pt idx="6">
                  <c:v>Salads</c:v>
                </c:pt>
                <c:pt idx="7">
                  <c:v>Smoothies &amp; Shakes</c:v>
                </c:pt>
                <c:pt idx="8">
                  <c:v>Snacks &amp; Sides</c:v>
                </c:pt>
              </c:strCache>
            </c:strRef>
          </c:cat>
          <c:val>
            <c:numRef>
              <c:f>Fats_Analysis!$B$4:$B$13</c:f>
              <c:numCache>
                <c:formatCode>General</c:formatCode>
                <c:ptCount val="9"/>
                <c:pt idx="0">
                  <c:v>24.866666666666667</c:v>
                </c:pt>
                <c:pt idx="1">
                  <c:v>9.2592592592592587E-2</c:v>
                </c:pt>
                <c:pt idx="2">
                  <c:v>27.69047619047619</c:v>
                </c:pt>
                <c:pt idx="3">
                  <c:v>26.962962962962962</c:v>
                </c:pt>
                <c:pt idx="4">
                  <c:v>8.0210526315789465</c:v>
                </c:pt>
                <c:pt idx="5">
                  <c:v>7.3571428571428568</c:v>
                </c:pt>
                <c:pt idx="6">
                  <c:v>11.75</c:v>
                </c:pt>
                <c:pt idx="7">
                  <c:v>14.125</c:v>
                </c:pt>
                <c:pt idx="8">
                  <c:v>10.538461538461538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2-41E8-B628-D64207BFC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2167568"/>
        <c:axId val="792169008"/>
      </c:barChart>
      <c:catAx>
        <c:axId val="79216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169008"/>
        <c:crosses val="autoZero"/>
        <c:auto val="1"/>
        <c:lblAlgn val="ctr"/>
        <c:lblOffset val="100"/>
        <c:noMultiLvlLbl val="0"/>
      </c:catAx>
      <c:valAx>
        <c:axId val="7921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16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2</xdr:row>
      <xdr:rowOff>7620</xdr:rowOff>
    </xdr:from>
    <xdr:to>
      <xdr:col>11</xdr:col>
      <xdr:colOff>601980</xdr:colOff>
      <xdr:row>16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7CEC76-9090-99C6-78AF-45EC4B18A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2</xdr:row>
      <xdr:rowOff>7620</xdr:rowOff>
    </xdr:from>
    <xdr:to>
      <xdr:col>12</xdr:col>
      <xdr:colOff>7620</xdr:colOff>
      <xdr:row>15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BFB1B8-7D60-3426-5EB3-D45402E86F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2</xdr:row>
      <xdr:rowOff>7620</xdr:rowOff>
    </xdr:from>
    <xdr:to>
      <xdr:col>12</xdr:col>
      <xdr:colOff>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C3F7F7-605C-FC8A-774E-C52A54A504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nit singh" refreshedDate="46079.538316435188" createdVersion="8" refreshedVersion="8" minRefreshableVersion="3" recordCount="260" xr:uid="{8B511D67-59DF-4A97-BCDE-FB3A664357BE}">
  <cacheSource type="worksheet">
    <worksheetSource ref="A1:X261" sheet="Raw_Data"/>
  </cacheSource>
  <cacheFields count="24">
    <cacheField name="Category" numFmtId="0">
      <sharedItems count="9">
        <s v="Breakfast"/>
        <s v="Beef &amp; Pork"/>
        <s v="Chicken &amp; Fish"/>
        <s v="Salads"/>
        <s v="Snacks &amp; Sides"/>
        <s v="Desserts"/>
        <s v="Beverages"/>
        <s v="Coffee &amp; Tea"/>
        <s v="Smoothies &amp; Shakes"/>
      </sharedItems>
    </cacheField>
    <cacheField name="Item" numFmtId="0">
      <sharedItems/>
    </cacheField>
    <cacheField name="Serving Size" numFmtId="0">
      <sharedItems/>
    </cacheField>
    <cacheField name="Calories" numFmtId="0">
      <sharedItems containsSemiMixedTypes="0" containsString="0" containsNumber="1" containsInteger="1" minValue="0" maxValue="1880" count="78">
        <n v="300"/>
        <n v="250"/>
        <n v="370"/>
        <n v="450"/>
        <n v="400"/>
        <n v="430"/>
        <n v="460"/>
        <n v="520"/>
        <n v="410"/>
        <n v="470"/>
        <n v="480"/>
        <n v="510"/>
        <n v="570"/>
        <n v="540"/>
        <n v="420"/>
        <n v="550"/>
        <n v="500"/>
        <n v="620"/>
        <n v="670"/>
        <n v="740"/>
        <n v="800"/>
        <n v="640"/>
        <n v="690"/>
        <n v="1090"/>
        <n v="1150"/>
        <n v="990"/>
        <n v="1050"/>
        <n v="350"/>
        <n v="150"/>
        <n v="290"/>
        <n v="260"/>
        <n v="530"/>
        <n v="600"/>
        <n v="610"/>
        <n v="750"/>
        <n v="240"/>
        <n v="720"/>
        <n v="380"/>
        <n v="440"/>
        <n v="590"/>
        <n v="360"/>
        <n v="630"/>
        <n v="190"/>
        <n v="280"/>
        <n v="940"/>
        <n v="1880"/>
        <n v="390"/>
        <n v="140"/>
        <n v="220"/>
        <n v="340"/>
        <n v="330"/>
        <n v="230"/>
        <n v="110"/>
        <n v="20"/>
        <n v="15"/>
        <n v="160"/>
        <n v="45"/>
        <n v="200"/>
        <n v="100"/>
        <n v="0"/>
        <n v="270"/>
        <n v="130"/>
        <n v="80"/>
        <n v="180"/>
        <n v="170"/>
        <n v="210"/>
        <n v="310"/>
        <n v="320"/>
        <n v="120"/>
        <n v="760"/>
        <n v="660"/>
        <n v="820"/>
        <n v="850"/>
        <n v="560"/>
        <n v="700"/>
        <n v="650"/>
        <n v="930"/>
        <n v="810"/>
      </sharedItems>
    </cacheField>
    <cacheField name="Calories from Fat" numFmtId="0">
      <sharedItems containsSemiMixedTypes="0" containsString="0" containsNumber="1" containsInteger="1" minValue="0" maxValue="1060"/>
    </cacheField>
    <cacheField name="Total Fat" numFmtId="0">
      <sharedItems containsSemiMixedTypes="0" containsString="0" containsNumber="1" minValue="0" maxValue="118"/>
    </cacheField>
    <cacheField name="Total Fat (% Daily Value)" numFmtId="0">
      <sharedItems containsSemiMixedTypes="0" containsString="0" containsNumber="1" containsInteger="1" minValue="0" maxValue="182"/>
    </cacheField>
    <cacheField name="Saturated Fat" numFmtId="0">
      <sharedItems containsSemiMixedTypes="0" containsString="0" containsNumber="1" minValue="0" maxValue="20"/>
    </cacheField>
    <cacheField name="Saturated Fat (% Daily Value)" numFmtId="0">
      <sharedItems containsSemiMixedTypes="0" containsString="0" containsNumber="1" containsInteger="1" minValue="0" maxValue="102"/>
    </cacheField>
    <cacheField name="Trans Fat" numFmtId="0">
      <sharedItems containsSemiMixedTypes="0" containsString="0" containsNumber="1" minValue="0" maxValue="2.5"/>
    </cacheField>
    <cacheField name="Cholesterol" numFmtId="0">
      <sharedItems containsSemiMixedTypes="0" containsString="0" containsNumber="1" containsInteger="1" minValue="0" maxValue="575"/>
    </cacheField>
    <cacheField name="Cholesterol (% Daily Value)" numFmtId="0">
      <sharedItems containsSemiMixedTypes="0" containsString="0" containsNumber="1" containsInteger="1" minValue="0" maxValue="192"/>
    </cacheField>
    <cacheField name="Sodium" numFmtId="0">
      <sharedItems containsSemiMixedTypes="0" containsString="0" containsNumber="1" containsInteger="1" minValue="0" maxValue="3600"/>
    </cacheField>
    <cacheField name="Sodium (% Daily Value)" numFmtId="0">
      <sharedItems containsSemiMixedTypes="0" containsString="0" containsNumber="1" containsInteger="1" minValue="0" maxValue="150"/>
    </cacheField>
    <cacheField name="Carbohydrates" numFmtId="0">
      <sharedItems containsSemiMixedTypes="0" containsString="0" containsNumber="1" containsInteger="1" minValue="0" maxValue="141"/>
    </cacheField>
    <cacheField name="Carbohydrates (% Daily Value)" numFmtId="0">
      <sharedItems containsSemiMixedTypes="0" containsString="0" containsNumber="1" containsInteger="1" minValue="0" maxValue="47"/>
    </cacheField>
    <cacheField name="Dietary Fiber" numFmtId="0">
      <sharedItems containsSemiMixedTypes="0" containsString="0" containsNumber="1" containsInteger="1" minValue="0" maxValue="7"/>
    </cacheField>
    <cacheField name="Dietary Fiber (% Daily Value)" numFmtId="0">
      <sharedItems containsSemiMixedTypes="0" containsString="0" containsNumber="1" containsInteger="1" minValue="0" maxValue="28"/>
    </cacheField>
    <cacheField name="Sugars" numFmtId="0">
      <sharedItems containsSemiMixedTypes="0" containsString="0" containsNumber="1" containsInteger="1" minValue="0" maxValue="128"/>
    </cacheField>
    <cacheField name="Protein" numFmtId="0">
      <sharedItems containsSemiMixedTypes="0" containsString="0" containsNumber="1" containsInteger="1" minValue="0" maxValue="87"/>
    </cacheField>
    <cacheField name="Vitamin A (% Daily Value)" numFmtId="0">
      <sharedItems containsSemiMixedTypes="0" containsString="0" containsNumber="1" containsInteger="1" minValue="0" maxValue="170"/>
    </cacheField>
    <cacheField name="Vitamin C (% Daily Value)" numFmtId="0">
      <sharedItems containsSemiMixedTypes="0" containsString="0" containsNumber="1" containsInteger="1" minValue="0" maxValue="240"/>
    </cacheField>
    <cacheField name="Calcium (% Daily Value)" numFmtId="0">
      <sharedItems containsSemiMixedTypes="0" containsString="0" containsNumber="1" containsInteger="1" minValue="0" maxValue="70"/>
    </cacheField>
    <cacheField name="Iron (% Daily Value)" numFmtId="0">
      <sharedItems containsSemiMixedTypes="0" containsString="0" containsNumber="1" containsInteger="1" minValue="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">
  <r>
    <x v="0"/>
    <s v="Egg McMuffin"/>
    <s v="4.8 oz (136 g)"/>
    <x v="0"/>
    <n v="120"/>
    <n v="13"/>
    <n v="20"/>
    <n v="5"/>
    <n v="25"/>
    <n v="0"/>
    <n v="260"/>
    <n v="87"/>
    <n v="750"/>
    <n v="31"/>
    <n v="31"/>
    <n v="10"/>
    <n v="4"/>
    <n v="17"/>
    <n v="3"/>
    <n v="17"/>
    <n v="10"/>
    <n v="0"/>
    <n v="25"/>
    <n v="15"/>
  </r>
  <r>
    <x v="0"/>
    <s v="Egg White Delight"/>
    <s v="4.8 oz (135 g)"/>
    <x v="1"/>
    <n v="70"/>
    <n v="8"/>
    <n v="12"/>
    <n v="3"/>
    <n v="15"/>
    <n v="0"/>
    <n v="25"/>
    <n v="8"/>
    <n v="770"/>
    <n v="32"/>
    <n v="30"/>
    <n v="10"/>
    <n v="4"/>
    <n v="17"/>
    <n v="3"/>
    <n v="18"/>
    <n v="6"/>
    <n v="0"/>
    <n v="25"/>
    <n v="8"/>
  </r>
  <r>
    <x v="0"/>
    <s v="Sausage McMuffin"/>
    <s v="3.9 oz (111 g)"/>
    <x v="2"/>
    <n v="200"/>
    <n v="23"/>
    <n v="35"/>
    <n v="8"/>
    <n v="42"/>
    <n v="0"/>
    <n v="45"/>
    <n v="15"/>
    <n v="780"/>
    <n v="33"/>
    <n v="29"/>
    <n v="10"/>
    <n v="4"/>
    <n v="17"/>
    <n v="2"/>
    <n v="14"/>
    <n v="8"/>
    <n v="0"/>
    <n v="25"/>
    <n v="10"/>
  </r>
  <r>
    <x v="0"/>
    <s v="Sausage McMuffin with Egg"/>
    <s v="5.7 oz (161 g)"/>
    <x v="3"/>
    <n v="250"/>
    <n v="28"/>
    <n v="43"/>
    <n v="10"/>
    <n v="52"/>
    <n v="0"/>
    <n v="285"/>
    <n v="95"/>
    <n v="860"/>
    <n v="36"/>
    <n v="30"/>
    <n v="10"/>
    <n v="4"/>
    <n v="17"/>
    <n v="2"/>
    <n v="21"/>
    <n v="15"/>
    <n v="0"/>
    <n v="30"/>
    <n v="15"/>
  </r>
  <r>
    <x v="0"/>
    <s v="Sausage McMuffin with Egg Whites"/>
    <s v="5.7 oz (161 g)"/>
    <x v="4"/>
    <n v="210"/>
    <n v="23"/>
    <n v="35"/>
    <n v="8"/>
    <n v="42"/>
    <n v="0"/>
    <n v="50"/>
    <n v="16"/>
    <n v="880"/>
    <n v="37"/>
    <n v="30"/>
    <n v="10"/>
    <n v="4"/>
    <n v="17"/>
    <n v="2"/>
    <n v="21"/>
    <n v="6"/>
    <n v="0"/>
    <n v="25"/>
    <n v="10"/>
  </r>
  <r>
    <x v="0"/>
    <s v="Steak &amp; Egg McMuffin"/>
    <s v="6.5 oz (185 g)"/>
    <x v="5"/>
    <n v="210"/>
    <n v="23"/>
    <n v="36"/>
    <n v="9"/>
    <n v="46"/>
    <n v="1"/>
    <n v="300"/>
    <n v="100"/>
    <n v="960"/>
    <n v="40"/>
    <n v="31"/>
    <n v="10"/>
    <n v="4"/>
    <n v="18"/>
    <n v="3"/>
    <n v="26"/>
    <n v="15"/>
    <n v="2"/>
    <n v="30"/>
    <n v="20"/>
  </r>
  <r>
    <x v="0"/>
    <s v="Bacon, Egg &amp; Cheese Biscuit (Regular Biscuit)"/>
    <s v="5.3 oz (150 g)"/>
    <x v="6"/>
    <n v="230"/>
    <n v="26"/>
    <n v="40"/>
    <n v="13"/>
    <n v="65"/>
    <n v="0"/>
    <n v="250"/>
    <n v="83"/>
    <n v="1300"/>
    <n v="54"/>
    <n v="38"/>
    <n v="13"/>
    <n v="2"/>
    <n v="7"/>
    <n v="3"/>
    <n v="19"/>
    <n v="10"/>
    <n v="8"/>
    <n v="15"/>
    <n v="15"/>
  </r>
  <r>
    <x v="0"/>
    <s v="Bacon, Egg &amp; Cheese Biscuit (Large Biscuit)"/>
    <s v="5.8 oz (164 g)"/>
    <x v="7"/>
    <n v="270"/>
    <n v="30"/>
    <n v="47"/>
    <n v="14"/>
    <n v="68"/>
    <n v="0"/>
    <n v="250"/>
    <n v="83"/>
    <n v="1410"/>
    <n v="59"/>
    <n v="43"/>
    <n v="14"/>
    <n v="3"/>
    <n v="12"/>
    <n v="4"/>
    <n v="19"/>
    <n v="15"/>
    <n v="8"/>
    <n v="20"/>
    <n v="20"/>
  </r>
  <r>
    <x v="0"/>
    <s v="Bacon, Egg &amp; Cheese Biscuit with Egg Whites (Regular Biscuit)"/>
    <s v="5.4 oz (153 g)"/>
    <x v="8"/>
    <n v="180"/>
    <n v="20"/>
    <n v="32"/>
    <n v="11"/>
    <n v="56"/>
    <n v="0"/>
    <n v="35"/>
    <n v="11"/>
    <n v="1300"/>
    <n v="54"/>
    <n v="36"/>
    <n v="12"/>
    <n v="2"/>
    <n v="7"/>
    <n v="3"/>
    <n v="20"/>
    <n v="2"/>
    <n v="8"/>
    <n v="15"/>
    <n v="10"/>
  </r>
  <r>
    <x v="0"/>
    <s v="Bacon, Egg &amp; Cheese Biscuit with Egg Whites (Large Biscuit)"/>
    <s v="5.9 oz (167 g)"/>
    <x v="9"/>
    <n v="220"/>
    <n v="25"/>
    <n v="38"/>
    <n v="12"/>
    <n v="59"/>
    <n v="0"/>
    <n v="35"/>
    <n v="11"/>
    <n v="1420"/>
    <n v="59"/>
    <n v="42"/>
    <n v="14"/>
    <n v="3"/>
    <n v="12"/>
    <n v="4"/>
    <n v="20"/>
    <n v="6"/>
    <n v="8"/>
    <n v="15"/>
    <n v="15"/>
  </r>
  <r>
    <x v="0"/>
    <s v="Sausage Biscuit (Regular Biscuit)"/>
    <s v="4.1 oz (117 g)"/>
    <x v="5"/>
    <n v="240"/>
    <n v="27"/>
    <n v="42"/>
    <n v="12"/>
    <n v="62"/>
    <n v="0"/>
    <n v="30"/>
    <n v="10"/>
    <n v="1080"/>
    <n v="45"/>
    <n v="34"/>
    <n v="11"/>
    <n v="2"/>
    <n v="6"/>
    <n v="2"/>
    <n v="11"/>
    <n v="0"/>
    <n v="0"/>
    <n v="6"/>
    <n v="15"/>
  </r>
  <r>
    <x v="0"/>
    <s v="Sausage Biscuit (Large Biscuit)"/>
    <s v="4.6 oz (131 g)"/>
    <x v="10"/>
    <n v="280"/>
    <n v="31"/>
    <n v="48"/>
    <n v="13"/>
    <n v="65"/>
    <n v="0"/>
    <n v="30"/>
    <n v="10"/>
    <n v="1190"/>
    <n v="50"/>
    <n v="39"/>
    <n v="13"/>
    <n v="3"/>
    <n v="11"/>
    <n v="3"/>
    <n v="11"/>
    <n v="4"/>
    <n v="0"/>
    <n v="8"/>
    <n v="15"/>
  </r>
  <r>
    <x v="0"/>
    <s v="Sausage Biscuit with Egg (Regular Biscuit)"/>
    <s v="5.7 oz (163 g)"/>
    <x v="11"/>
    <n v="290"/>
    <n v="33"/>
    <n v="50"/>
    <n v="14"/>
    <n v="71"/>
    <n v="0"/>
    <n v="250"/>
    <n v="83"/>
    <n v="1170"/>
    <n v="49"/>
    <n v="36"/>
    <n v="12"/>
    <n v="2"/>
    <n v="6"/>
    <n v="2"/>
    <n v="18"/>
    <n v="6"/>
    <n v="0"/>
    <n v="10"/>
    <n v="20"/>
  </r>
  <r>
    <x v="0"/>
    <s v="Sausage Biscuit with Egg (Large Biscuit)"/>
    <s v="6.2 oz (177 g)"/>
    <x v="12"/>
    <n v="330"/>
    <n v="37"/>
    <n v="57"/>
    <n v="15"/>
    <n v="74"/>
    <n v="0"/>
    <n v="250"/>
    <n v="83"/>
    <n v="1280"/>
    <n v="53"/>
    <n v="42"/>
    <n v="14"/>
    <n v="3"/>
    <n v="11"/>
    <n v="3"/>
    <n v="18"/>
    <n v="10"/>
    <n v="0"/>
    <n v="10"/>
    <n v="20"/>
  </r>
  <r>
    <x v="0"/>
    <s v="Sausage Biscuit with Egg Whites (Regular Biscuit)"/>
    <s v="5.9 oz (167 g)"/>
    <x v="6"/>
    <n v="250"/>
    <n v="27"/>
    <n v="42"/>
    <n v="12"/>
    <n v="62"/>
    <n v="0"/>
    <n v="35"/>
    <n v="11"/>
    <n v="1180"/>
    <n v="49"/>
    <n v="34"/>
    <n v="11"/>
    <n v="2"/>
    <n v="6"/>
    <n v="3"/>
    <n v="18"/>
    <n v="0"/>
    <n v="0"/>
    <n v="8"/>
    <n v="15"/>
  </r>
  <r>
    <x v="0"/>
    <s v="Sausage Biscuit with Egg Whites (Large Biscuit)"/>
    <s v="6.4 oz (181 g)"/>
    <x v="7"/>
    <n v="280"/>
    <n v="32"/>
    <n v="49"/>
    <n v="13"/>
    <n v="65"/>
    <n v="0"/>
    <n v="35"/>
    <n v="11"/>
    <n v="1290"/>
    <n v="54"/>
    <n v="40"/>
    <n v="13"/>
    <n v="3"/>
    <n v="11"/>
    <n v="3"/>
    <n v="18"/>
    <n v="4"/>
    <n v="0"/>
    <n v="8"/>
    <n v="15"/>
  </r>
  <r>
    <x v="0"/>
    <s v="Southern Style Chicken Biscuit (Regular Biscuit)"/>
    <s v="5 oz (143 g)"/>
    <x v="8"/>
    <n v="180"/>
    <n v="20"/>
    <n v="31"/>
    <n v="8"/>
    <n v="41"/>
    <n v="0"/>
    <n v="30"/>
    <n v="10"/>
    <n v="1180"/>
    <n v="49"/>
    <n v="41"/>
    <n v="14"/>
    <n v="2"/>
    <n v="6"/>
    <n v="3"/>
    <n v="17"/>
    <n v="0"/>
    <n v="2"/>
    <n v="6"/>
    <n v="15"/>
  </r>
  <r>
    <x v="0"/>
    <s v="Southern Style Chicken Biscuit (Large Biscuit)"/>
    <s v="5.5 oz (157 g)"/>
    <x v="9"/>
    <n v="220"/>
    <n v="24"/>
    <n v="37"/>
    <n v="9"/>
    <n v="45"/>
    <n v="0"/>
    <n v="30"/>
    <n v="10"/>
    <n v="1290"/>
    <n v="54"/>
    <n v="46"/>
    <n v="15"/>
    <n v="3"/>
    <n v="11"/>
    <n v="4"/>
    <n v="17"/>
    <n v="4"/>
    <n v="2"/>
    <n v="8"/>
    <n v="15"/>
  </r>
  <r>
    <x v="0"/>
    <s v="Steak &amp; Egg Biscuit (Regular Biscuit)"/>
    <s v="7.1 oz (201 g)"/>
    <x v="13"/>
    <n v="290"/>
    <n v="32"/>
    <n v="49"/>
    <n v="16"/>
    <n v="78"/>
    <n v="1"/>
    <n v="280"/>
    <n v="93"/>
    <n v="1470"/>
    <n v="61"/>
    <n v="38"/>
    <n v="13"/>
    <n v="2"/>
    <n v="8"/>
    <n v="3"/>
    <n v="25"/>
    <n v="10"/>
    <n v="2"/>
    <n v="20"/>
    <n v="25"/>
  </r>
  <r>
    <x v="0"/>
    <s v="Bacon, Egg &amp; Cheese McGriddles"/>
    <s v="6.1 oz (174 g)"/>
    <x v="6"/>
    <n v="190"/>
    <n v="21"/>
    <n v="32"/>
    <n v="9"/>
    <n v="44"/>
    <n v="0"/>
    <n v="250"/>
    <n v="84"/>
    <n v="1250"/>
    <n v="52"/>
    <n v="48"/>
    <n v="16"/>
    <n v="2"/>
    <n v="9"/>
    <n v="15"/>
    <n v="19"/>
    <n v="10"/>
    <n v="10"/>
    <n v="20"/>
    <n v="15"/>
  </r>
  <r>
    <x v="0"/>
    <s v="Bacon, Egg &amp; Cheese McGriddles with Egg Whites"/>
    <s v="6.3 oz (178 g)"/>
    <x v="4"/>
    <n v="140"/>
    <n v="15"/>
    <n v="24"/>
    <n v="7"/>
    <n v="34"/>
    <n v="0"/>
    <n v="35"/>
    <n v="11"/>
    <n v="1250"/>
    <n v="52"/>
    <n v="47"/>
    <n v="16"/>
    <n v="2"/>
    <n v="9"/>
    <n v="16"/>
    <n v="20"/>
    <n v="2"/>
    <n v="10"/>
    <n v="15"/>
    <n v="10"/>
  </r>
  <r>
    <x v="0"/>
    <s v="Sausage McGriddles"/>
    <s v="5 oz (141 g)"/>
    <x v="14"/>
    <n v="200"/>
    <n v="22"/>
    <n v="34"/>
    <n v="8"/>
    <n v="40"/>
    <n v="0"/>
    <n v="35"/>
    <n v="11"/>
    <n v="1030"/>
    <n v="43"/>
    <n v="44"/>
    <n v="15"/>
    <n v="2"/>
    <n v="8"/>
    <n v="15"/>
    <n v="11"/>
    <n v="0"/>
    <n v="0"/>
    <n v="8"/>
    <n v="10"/>
  </r>
  <r>
    <x v="0"/>
    <s v="Sausage, Egg &amp; Cheese McGriddles"/>
    <s v="7.1 oz (201 g)"/>
    <x v="15"/>
    <n v="280"/>
    <n v="31"/>
    <n v="48"/>
    <n v="12"/>
    <n v="61"/>
    <n v="0"/>
    <n v="265"/>
    <n v="89"/>
    <n v="1320"/>
    <n v="55"/>
    <n v="48"/>
    <n v="16"/>
    <n v="2"/>
    <n v="9"/>
    <n v="15"/>
    <n v="20"/>
    <n v="10"/>
    <n v="0"/>
    <n v="20"/>
    <n v="15"/>
  </r>
  <r>
    <x v="0"/>
    <s v="Sausage, Egg &amp; Cheese McGriddles with Egg Whites"/>
    <s v="7.2 oz (205 g)"/>
    <x v="16"/>
    <n v="230"/>
    <n v="26"/>
    <n v="40"/>
    <n v="10"/>
    <n v="52"/>
    <n v="0"/>
    <n v="50"/>
    <n v="17"/>
    <n v="1320"/>
    <n v="55"/>
    <n v="46"/>
    <n v="15"/>
    <n v="2"/>
    <n v="9"/>
    <n v="15"/>
    <n v="21"/>
    <n v="2"/>
    <n v="0"/>
    <n v="20"/>
    <n v="10"/>
  </r>
  <r>
    <x v="0"/>
    <s v="Bacon, Egg &amp; Cheese Bagel"/>
    <s v="6.9 oz (197 g)"/>
    <x v="17"/>
    <n v="280"/>
    <n v="31"/>
    <n v="48"/>
    <n v="11"/>
    <n v="56"/>
    <n v="0.5"/>
    <n v="275"/>
    <n v="92"/>
    <n v="1480"/>
    <n v="62"/>
    <n v="57"/>
    <n v="19"/>
    <n v="3"/>
    <n v="11"/>
    <n v="7"/>
    <n v="30"/>
    <n v="20"/>
    <n v="15"/>
    <n v="20"/>
    <n v="20"/>
  </r>
  <r>
    <x v="0"/>
    <s v="Bacon, Egg &amp; Cheese Bagel with Egg Whites"/>
    <s v="7.1 oz (201 g)"/>
    <x v="12"/>
    <n v="230"/>
    <n v="25"/>
    <n v="39"/>
    <n v="9"/>
    <n v="45"/>
    <n v="0.5"/>
    <n v="60"/>
    <n v="20"/>
    <n v="1480"/>
    <n v="62"/>
    <n v="55"/>
    <n v="18"/>
    <n v="3"/>
    <n v="12"/>
    <n v="8"/>
    <n v="30"/>
    <n v="10"/>
    <n v="15"/>
    <n v="20"/>
    <n v="15"/>
  </r>
  <r>
    <x v="0"/>
    <s v="Steak, Egg &amp; Cheese Bagel"/>
    <s v="8.5 oz (241 g)"/>
    <x v="18"/>
    <n v="310"/>
    <n v="35"/>
    <n v="53"/>
    <n v="13"/>
    <n v="63"/>
    <n v="1.5"/>
    <n v="295"/>
    <n v="99"/>
    <n v="1510"/>
    <n v="63"/>
    <n v="56"/>
    <n v="19"/>
    <n v="3"/>
    <n v="12"/>
    <n v="7"/>
    <n v="33"/>
    <n v="20"/>
    <n v="4"/>
    <n v="25"/>
    <n v="25"/>
  </r>
  <r>
    <x v="0"/>
    <s v="Big Breakfast (Regular Biscuit)"/>
    <s v="9.5 oz (269 g)"/>
    <x v="19"/>
    <n v="430"/>
    <n v="48"/>
    <n v="73"/>
    <n v="17"/>
    <n v="87"/>
    <n v="0"/>
    <n v="555"/>
    <n v="185"/>
    <n v="1560"/>
    <n v="65"/>
    <n v="51"/>
    <n v="17"/>
    <n v="3"/>
    <n v="12"/>
    <n v="3"/>
    <n v="28"/>
    <n v="15"/>
    <n v="2"/>
    <n v="15"/>
    <n v="25"/>
  </r>
  <r>
    <x v="0"/>
    <s v="Big Breakfast (Large Biscuit)"/>
    <s v="10 oz (283 g)"/>
    <x v="20"/>
    <n v="470"/>
    <n v="52"/>
    <n v="80"/>
    <n v="18"/>
    <n v="90"/>
    <n v="0"/>
    <n v="555"/>
    <n v="185"/>
    <n v="1680"/>
    <n v="70"/>
    <n v="56"/>
    <n v="19"/>
    <n v="4"/>
    <n v="17"/>
    <n v="3"/>
    <n v="28"/>
    <n v="15"/>
    <n v="2"/>
    <n v="15"/>
    <n v="30"/>
  </r>
  <r>
    <x v="0"/>
    <s v="Big Breakfast with Egg Whites (Regular Biscuit)"/>
    <s v="9.6 oz (272 g)"/>
    <x v="21"/>
    <n v="330"/>
    <n v="37"/>
    <n v="57"/>
    <n v="14"/>
    <n v="69"/>
    <n v="0"/>
    <n v="35"/>
    <n v="12"/>
    <n v="1590"/>
    <n v="66"/>
    <n v="50"/>
    <n v="17"/>
    <n v="3"/>
    <n v="12"/>
    <n v="3"/>
    <n v="26"/>
    <n v="0"/>
    <n v="2"/>
    <n v="10"/>
    <n v="15"/>
  </r>
  <r>
    <x v="0"/>
    <s v="Big Breakfast with Egg Whites (Large Biscuit)"/>
    <s v="10.1 oz (286 g)"/>
    <x v="22"/>
    <n v="370"/>
    <n v="41"/>
    <n v="63"/>
    <n v="14"/>
    <n v="72"/>
    <n v="0"/>
    <n v="35"/>
    <n v="12"/>
    <n v="1700"/>
    <n v="71"/>
    <n v="55"/>
    <n v="18"/>
    <n v="4"/>
    <n v="17"/>
    <n v="4"/>
    <n v="26"/>
    <n v="4"/>
    <n v="2"/>
    <n v="10"/>
    <n v="15"/>
  </r>
  <r>
    <x v="0"/>
    <s v="Big Breakfast with Hotcakes (Regular Biscuit)"/>
    <s v="14.8 oz (420 g)"/>
    <x v="23"/>
    <n v="510"/>
    <n v="56"/>
    <n v="87"/>
    <n v="19"/>
    <n v="96"/>
    <n v="0"/>
    <n v="575"/>
    <n v="192"/>
    <n v="2150"/>
    <n v="90"/>
    <n v="111"/>
    <n v="37"/>
    <n v="6"/>
    <n v="23"/>
    <n v="17"/>
    <n v="36"/>
    <n v="15"/>
    <n v="2"/>
    <n v="25"/>
    <n v="40"/>
  </r>
  <r>
    <x v="0"/>
    <s v="Big Breakfast with Hotcakes (Large Biscuit)"/>
    <s v="15.3 oz (434 g)"/>
    <x v="24"/>
    <n v="540"/>
    <n v="60"/>
    <n v="93"/>
    <n v="20"/>
    <n v="100"/>
    <n v="0"/>
    <n v="575"/>
    <n v="192"/>
    <n v="2260"/>
    <n v="94"/>
    <n v="116"/>
    <n v="39"/>
    <n v="7"/>
    <n v="28"/>
    <n v="17"/>
    <n v="36"/>
    <n v="15"/>
    <n v="2"/>
    <n v="30"/>
    <n v="40"/>
  </r>
  <r>
    <x v="0"/>
    <s v="Big Breakfast with Hotcakes and Egg Whites (Regular Biscuit)"/>
    <s v="14.9 oz (423 g)"/>
    <x v="25"/>
    <n v="410"/>
    <n v="46"/>
    <n v="70"/>
    <n v="16"/>
    <n v="78"/>
    <n v="0"/>
    <n v="55"/>
    <n v="19"/>
    <n v="2170"/>
    <n v="91"/>
    <n v="110"/>
    <n v="37"/>
    <n v="6"/>
    <n v="23"/>
    <n v="17"/>
    <n v="35"/>
    <n v="0"/>
    <n v="2"/>
    <n v="25"/>
    <n v="30"/>
  </r>
  <r>
    <x v="0"/>
    <s v="Big Breakfast with Hotcakes and Egg Whites (Large Biscuit)"/>
    <s v="15.4 oz (437 g)"/>
    <x v="26"/>
    <n v="450"/>
    <n v="50"/>
    <n v="77"/>
    <n v="16"/>
    <n v="81"/>
    <n v="0"/>
    <n v="55"/>
    <n v="19"/>
    <n v="2290"/>
    <n v="95"/>
    <n v="115"/>
    <n v="38"/>
    <n v="7"/>
    <n v="28"/>
    <n v="18"/>
    <n v="35"/>
    <n v="4"/>
    <n v="2"/>
    <n v="25"/>
    <n v="30"/>
  </r>
  <r>
    <x v="0"/>
    <s v="Hotcakes"/>
    <s v="5.3 oz (151 g)"/>
    <x v="27"/>
    <n v="80"/>
    <n v="9"/>
    <n v="13"/>
    <n v="2"/>
    <n v="9"/>
    <n v="0"/>
    <n v="20"/>
    <n v="7"/>
    <n v="590"/>
    <n v="24"/>
    <n v="60"/>
    <n v="20"/>
    <n v="3"/>
    <n v="10"/>
    <n v="14"/>
    <n v="8"/>
    <n v="0"/>
    <n v="0"/>
    <n v="15"/>
    <n v="15"/>
  </r>
  <r>
    <x v="0"/>
    <s v="Hotcakes and Sausage"/>
    <s v="6.8 oz (192 g)"/>
    <x v="7"/>
    <n v="210"/>
    <n v="24"/>
    <n v="37"/>
    <n v="7"/>
    <n v="36"/>
    <n v="0"/>
    <n v="50"/>
    <n v="17"/>
    <n v="930"/>
    <n v="39"/>
    <n v="61"/>
    <n v="20"/>
    <n v="3"/>
    <n v="10"/>
    <n v="14"/>
    <n v="15"/>
    <n v="0"/>
    <n v="0"/>
    <n v="15"/>
    <n v="15"/>
  </r>
  <r>
    <x v="0"/>
    <s v="Sausage Burrito"/>
    <s v="3.9 oz (111 g)"/>
    <x v="0"/>
    <n v="150"/>
    <n v="16"/>
    <n v="25"/>
    <n v="7"/>
    <n v="33"/>
    <n v="0"/>
    <n v="115"/>
    <n v="38"/>
    <n v="790"/>
    <n v="33"/>
    <n v="26"/>
    <n v="9"/>
    <n v="1"/>
    <n v="5"/>
    <n v="2"/>
    <n v="12"/>
    <n v="10"/>
    <n v="2"/>
    <n v="15"/>
    <n v="15"/>
  </r>
  <r>
    <x v="0"/>
    <s v="Hash Brown"/>
    <s v="2 oz (56 g)"/>
    <x v="28"/>
    <n v="80"/>
    <n v="9"/>
    <n v="14"/>
    <n v="1.5"/>
    <n v="6"/>
    <n v="0"/>
    <n v="0"/>
    <n v="0"/>
    <n v="310"/>
    <n v="13"/>
    <n v="15"/>
    <n v="5"/>
    <n v="2"/>
    <n v="6"/>
    <n v="0"/>
    <n v="1"/>
    <n v="0"/>
    <n v="2"/>
    <n v="0"/>
    <n v="2"/>
  </r>
  <r>
    <x v="0"/>
    <s v="Cinnamon Melts"/>
    <s v="4 oz (114 g)"/>
    <x v="6"/>
    <n v="170"/>
    <n v="19"/>
    <n v="30"/>
    <n v="9"/>
    <n v="43"/>
    <n v="0"/>
    <n v="15"/>
    <n v="5"/>
    <n v="370"/>
    <n v="15"/>
    <n v="66"/>
    <n v="22"/>
    <n v="3"/>
    <n v="11"/>
    <n v="32"/>
    <n v="6"/>
    <n v="4"/>
    <n v="0"/>
    <n v="6"/>
    <n v="15"/>
  </r>
  <r>
    <x v="0"/>
    <s v="Fruit &amp; Maple Oatmeal"/>
    <s v="9.6 oz (251 g)"/>
    <x v="29"/>
    <n v="35"/>
    <n v="4"/>
    <n v="6"/>
    <n v="1.5"/>
    <n v="8"/>
    <n v="0"/>
    <n v="5"/>
    <n v="2"/>
    <n v="160"/>
    <n v="7"/>
    <n v="58"/>
    <n v="19"/>
    <n v="5"/>
    <n v="19"/>
    <n v="32"/>
    <n v="5"/>
    <n v="2"/>
    <n v="130"/>
    <n v="10"/>
    <n v="10"/>
  </r>
  <r>
    <x v="0"/>
    <s v="Fruit &amp; Maple Oatmeal without Brown Sugar"/>
    <s v="9.6 oz (251 g)"/>
    <x v="30"/>
    <n v="40"/>
    <n v="4"/>
    <n v="6"/>
    <n v="1.5"/>
    <n v="8"/>
    <n v="0"/>
    <n v="5"/>
    <n v="2"/>
    <n v="115"/>
    <n v="5"/>
    <n v="49"/>
    <n v="16"/>
    <n v="5"/>
    <n v="22"/>
    <n v="18"/>
    <n v="5"/>
    <n v="2"/>
    <n v="130"/>
    <n v="6"/>
    <n v="10"/>
  </r>
  <r>
    <x v="1"/>
    <s v="Big Mac"/>
    <s v="7.4 oz (211 g)"/>
    <x v="31"/>
    <n v="240"/>
    <n v="27"/>
    <n v="42"/>
    <n v="10"/>
    <n v="48"/>
    <n v="1"/>
    <n v="85"/>
    <n v="28"/>
    <n v="960"/>
    <n v="40"/>
    <n v="47"/>
    <n v="16"/>
    <n v="3"/>
    <n v="13"/>
    <n v="9"/>
    <n v="24"/>
    <n v="6"/>
    <n v="2"/>
    <n v="25"/>
    <n v="25"/>
  </r>
  <r>
    <x v="1"/>
    <s v="Quarter Pounder with Cheese"/>
    <s v="7.1 oz (202 g)"/>
    <x v="7"/>
    <n v="240"/>
    <n v="26"/>
    <n v="41"/>
    <n v="12"/>
    <n v="61"/>
    <n v="1.5"/>
    <n v="95"/>
    <n v="31"/>
    <n v="1100"/>
    <n v="46"/>
    <n v="41"/>
    <n v="14"/>
    <n v="3"/>
    <n v="11"/>
    <n v="10"/>
    <n v="30"/>
    <n v="10"/>
    <n v="2"/>
    <n v="30"/>
    <n v="25"/>
  </r>
  <r>
    <x v="1"/>
    <s v="Quarter Pounder with Bacon &amp; Cheese"/>
    <s v="8 oz (227 g)"/>
    <x v="32"/>
    <n v="260"/>
    <n v="29"/>
    <n v="45"/>
    <n v="13"/>
    <n v="63"/>
    <n v="1.5"/>
    <n v="105"/>
    <n v="34"/>
    <n v="1440"/>
    <n v="60"/>
    <n v="48"/>
    <n v="16"/>
    <n v="3"/>
    <n v="12"/>
    <n v="12"/>
    <n v="37"/>
    <n v="6"/>
    <n v="15"/>
    <n v="25"/>
    <n v="30"/>
  </r>
  <r>
    <x v="1"/>
    <s v="Quarter Pounder with Bacon Habanero Ranch"/>
    <s v="8.3 oz (235 g)"/>
    <x v="33"/>
    <n v="280"/>
    <n v="31"/>
    <n v="48"/>
    <n v="13"/>
    <n v="64"/>
    <n v="1.5"/>
    <n v="105"/>
    <n v="35"/>
    <n v="1180"/>
    <n v="49"/>
    <n v="46"/>
    <n v="15"/>
    <n v="3"/>
    <n v="14"/>
    <n v="10"/>
    <n v="37"/>
    <n v="8"/>
    <n v="20"/>
    <n v="25"/>
    <n v="30"/>
  </r>
  <r>
    <x v="1"/>
    <s v="Quarter Pounder Deluxe"/>
    <s v="8.6 oz (244 g)"/>
    <x v="13"/>
    <n v="250"/>
    <n v="27"/>
    <n v="42"/>
    <n v="11"/>
    <n v="54"/>
    <n v="1.5"/>
    <n v="85"/>
    <n v="28"/>
    <n v="960"/>
    <n v="40"/>
    <n v="45"/>
    <n v="15"/>
    <n v="3"/>
    <n v="13"/>
    <n v="9"/>
    <n v="29"/>
    <n v="10"/>
    <n v="8"/>
    <n v="25"/>
    <n v="30"/>
  </r>
  <r>
    <x v="1"/>
    <s v="Double Quarter Pounder with Cheese"/>
    <s v="10 oz (283 g)"/>
    <x v="34"/>
    <n v="380"/>
    <n v="43"/>
    <n v="66"/>
    <n v="19"/>
    <n v="96"/>
    <n v="2.5"/>
    <n v="160"/>
    <n v="53"/>
    <n v="1280"/>
    <n v="53"/>
    <n v="42"/>
    <n v="14"/>
    <n v="3"/>
    <n v="11"/>
    <n v="10"/>
    <n v="48"/>
    <n v="10"/>
    <n v="2"/>
    <n v="30"/>
    <n v="35"/>
  </r>
  <r>
    <x v="1"/>
    <s v="Hamburger"/>
    <s v="3.5 oz (98 g)"/>
    <x v="35"/>
    <n v="70"/>
    <n v="8"/>
    <n v="12"/>
    <n v="3"/>
    <n v="15"/>
    <n v="0"/>
    <n v="30"/>
    <n v="10"/>
    <n v="480"/>
    <n v="20"/>
    <n v="32"/>
    <n v="11"/>
    <n v="1"/>
    <n v="6"/>
    <n v="6"/>
    <n v="12"/>
    <n v="2"/>
    <n v="2"/>
    <n v="10"/>
    <n v="15"/>
  </r>
  <r>
    <x v="1"/>
    <s v="Cheeseburger"/>
    <s v="4 oz (113 g)"/>
    <x v="29"/>
    <n v="100"/>
    <n v="11"/>
    <n v="18"/>
    <n v="5"/>
    <n v="27"/>
    <n v="0.5"/>
    <n v="45"/>
    <n v="15"/>
    <n v="680"/>
    <n v="28"/>
    <n v="33"/>
    <n v="11"/>
    <n v="2"/>
    <n v="7"/>
    <n v="7"/>
    <n v="15"/>
    <n v="6"/>
    <n v="2"/>
    <n v="20"/>
    <n v="15"/>
  </r>
  <r>
    <x v="1"/>
    <s v="Double Cheeseburger"/>
    <s v="5.7 oz (161 g)"/>
    <x v="5"/>
    <n v="190"/>
    <n v="21"/>
    <n v="32"/>
    <n v="10"/>
    <n v="52"/>
    <n v="1"/>
    <n v="90"/>
    <n v="30"/>
    <n v="1040"/>
    <n v="43"/>
    <n v="35"/>
    <n v="12"/>
    <n v="2"/>
    <n v="8"/>
    <n v="7"/>
    <n v="24"/>
    <n v="10"/>
    <n v="2"/>
    <n v="30"/>
    <n v="20"/>
  </r>
  <r>
    <x v="1"/>
    <s v="Bacon Clubhouse Burger"/>
    <s v="9.5 oz (270 g)"/>
    <x v="36"/>
    <n v="360"/>
    <n v="40"/>
    <n v="62"/>
    <n v="15"/>
    <n v="75"/>
    <n v="1.5"/>
    <n v="115"/>
    <n v="38"/>
    <n v="1470"/>
    <n v="61"/>
    <n v="51"/>
    <n v="17"/>
    <n v="4"/>
    <n v="14"/>
    <n v="14"/>
    <n v="39"/>
    <n v="8"/>
    <n v="25"/>
    <n v="30"/>
    <n v="25"/>
  </r>
  <r>
    <x v="1"/>
    <s v="McDouble"/>
    <s v="5.2 oz (147 g)"/>
    <x v="37"/>
    <n v="150"/>
    <n v="17"/>
    <n v="26"/>
    <n v="8"/>
    <n v="40"/>
    <n v="1"/>
    <n v="75"/>
    <n v="25"/>
    <n v="840"/>
    <n v="35"/>
    <n v="34"/>
    <n v="11"/>
    <n v="2"/>
    <n v="7"/>
    <n v="7"/>
    <n v="22"/>
    <n v="6"/>
    <n v="2"/>
    <n v="20"/>
    <n v="20"/>
  </r>
  <r>
    <x v="1"/>
    <s v="Bacon McDouble"/>
    <s v="5.7 oz (161 g)"/>
    <x v="38"/>
    <n v="200"/>
    <n v="22"/>
    <n v="34"/>
    <n v="10"/>
    <n v="49"/>
    <n v="1"/>
    <n v="90"/>
    <n v="30"/>
    <n v="1110"/>
    <n v="46"/>
    <n v="35"/>
    <n v="12"/>
    <n v="2"/>
    <n v="7"/>
    <n v="7"/>
    <n v="27"/>
    <n v="6"/>
    <n v="10"/>
    <n v="20"/>
    <n v="20"/>
  </r>
  <r>
    <x v="1"/>
    <s v="Daily Double"/>
    <s v="6.7 oz (190 g)"/>
    <x v="5"/>
    <n v="200"/>
    <n v="22"/>
    <n v="35"/>
    <n v="9"/>
    <n v="44"/>
    <n v="1"/>
    <n v="80"/>
    <n v="27"/>
    <n v="760"/>
    <n v="32"/>
    <n v="34"/>
    <n v="11"/>
    <n v="2"/>
    <n v="8"/>
    <n v="7"/>
    <n v="22"/>
    <n v="8"/>
    <n v="8"/>
    <n v="20"/>
    <n v="20"/>
  </r>
  <r>
    <x v="1"/>
    <s v="JalapeÃ±o Double"/>
    <s v="5.6 oz (159 g)"/>
    <x v="5"/>
    <n v="210"/>
    <n v="23"/>
    <n v="36"/>
    <n v="9"/>
    <n v="44"/>
    <n v="1"/>
    <n v="80"/>
    <n v="27"/>
    <n v="1030"/>
    <n v="43"/>
    <n v="35"/>
    <n v="12"/>
    <n v="2"/>
    <n v="7"/>
    <n v="6"/>
    <n v="22"/>
    <n v="6"/>
    <n v="8"/>
    <n v="20"/>
    <n v="20"/>
  </r>
  <r>
    <x v="1"/>
    <s v="McRib"/>
    <s v="7.3 oz (208 g)"/>
    <x v="16"/>
    <n v="240"/>
    <n v="26"/>
    <n v="40"/>
    <n v="10"/>
    <n v="48"/>
    <n v="0"/>
    <n v="70"/>
    <n v="23"/>
    <n v="980"/>
    <n v="41"/>
    <n v="44"/>
    <n v="15"/>
    <n v="3"/>
    <n v="10"/>
    <n v="11"/>
    <n v="22"/>
    <n v="2"/>
    <n v="2"/>
    <n v="15"/>
    <n v="20"/>
  </r>
  <r>
    <x v="2"/>
    <s v="Premium Crispy Chicken Classic Sandwich"/>
    <s v="7.5 oz (213 g)"/>
    <x v="11"/>
    <n v="200"/>
    <n v="22"/>
    <n v="33"/>
    <n v="3.5"/>
    <n v="18"/>
    <n v="0"/>
    <n v="45"/>
    <n v="16"/>
    <n v="990"/>
    <n v="41"/>
    <n v="55"/>
    <n v="18"/>
    <n v="3"/>
    <n v="13"/>
    <n v="10"/>
    <n v="24"/>
    <n v="4"/>
    <n v="6"/>
    <n v="15"/>
    <n v="20"/>
  </r>
  <r>
    <x v="2"/>
    <s v="Premium Grilled Chicken Classic Sandwich"/>
    <s v="7 oz (200 g)"/>
    <x v="27"/>
    <n v="80"/>
    <n v="9"/>
    <n v="13"/>
    <n v="2"/>
    <n v="9"/>
    <n v="0"/>
    <n v="65"/>
    <n v="22"/>
    <n v="820"/>
    <n v="34"/>
    <n v="42"/>
    <n v="14"/>
    <n v="3"/>
    <n v="13"/>
    <n v="8"/>
    <n v="28"/>
    <n v="4"/>
    <n v="8"/>
    <n v="15"/>
    <n v="20"/>
  </r>
  <r>
    <x v="2"/>
    <s v="Premium Crispy Chicken Club Sandwich"/>
    <s v="8.8 oz (249 g)"/>
    <x v="18"/>
    <n v="300"/>
    <n v="33"/>
    <n v="51"/>
    <n v="9"/>
    <n v="44"/>
    <n v="0"/>
    <n v="85"/>
    <n v="29"/>
    <n v="1410"/>
    <n v="59"/>
    <n v="58"/>
    <n v="19"/>
    <n v="3"/>
    <n v="14"/>
    <n v="11"/>
    <n v="36"/>
    <n v="8"/>
    <n v="20"/>
    <n v="30"/>
    <n v="20"/>
  </r>
  <r>
    <x v="2"/>
    <s v="Premium Grilled Chicken Club Sandwich"/>
    <s v="8.3 oz (235 g)"/>
    <x v="11"/>
    <n v="180"/>
    <n v="20"/>
    <n v="31"/>
    <n v="7"/>
    <n v="36"/>
    <n v="0"/>
    <n v="105"/>
    <n v="35"/>
    <n v="1250"/>
    <n v="52"/>
    <n v="44"/>
    <n v="15"/>
    <n v="3"/>
    <n v="13"/>
    <n v="9"/>
    <n v="40"/>
    <n v="8"/>
    <n v="20"/>
    <n v="30"/>
    <n v="20"/>
  </r>
  <r>
    <x v="2"/>
    <s v="Premium Crispy Chicken Ranch BLT Sandwich"/>
    <s v="8.1 oz (230 g)"/>
    <x v="33"/>
    <n v="250"/>
    <n v="28"/>
    <n v="43"/>
    <n v="6"/>
    <n v="31"/>
    <n v="0"/>
    <n v="70"/>
    <n v="24"/>
    <n v="1400"/>
    <n v="58"/>
    <n v="57"/>
    <n v="19"/>
    <n v="3"/>
    <n v="13"/>
    <n v="11"/>
    <n v="32"/>
    <n v="4"/>
    <n v="20"/>
    <n v="15"/>
    <n v="20"/>
  </r>
  <r>
    <x v="2"/>
    <s v="Premium Grilled Chicken Ranch BLT Sandwich"/>
    <s v="7.6 oz (217 g)"/>
    <x v="3"/>
    <n v="130"/>
    <n v="15"/>
    <n v="23"/>
    <n v="4.5"/>
    <n v="22"/>
    <n v="0"/>
    <n v="90"/>
    <n v="30"/>
    <n v="1230"/>
    <n v="51"/>
    <n v="43"/>
    <n v="14"/>
    <n v="3"/>
    <n v="13"/>
    <n v="9"/>
    <n v="36"/>
    <n v="4"/>
    <n v="20"/>
    <n v="15"/>
    <n v="20"/>
  </r>
  <r>
    <x v="2"/>
    <s v="Bacon Clubhouse Crispy Chicken Sandwich"/>
    <s v="10 oz (284 g)"/>
    <x v="34"/>
    <n v="340"/>
    <n v="38"/>
    <n v="59"/>
    <n v="10"/>
    <n v="51"/>
    <n v="0.5"/>
    <n v="90"/>
    <n v="31"/>
    <n v="1720"/>
    <n v="72"/>
    <n v="65"/>
    <n v="22"/>
    <n v="4"/>
    <n v="15"/>
    <n v="16"/>
    <n v="36"/>
    <n v="8"/>
    <n v="25"/>
    <n v="30"/>
    <n v="15"/>
  </r>
  <r>
    <x v="2"/>
    <s v="Bacon Clubhouse Grilled Chicken Sandwich"/>
    <s v="9.5 oz (270 g)"/>
    <x v="39"/>
    <n v="230"/>
    <n v="25"/>
    <n v="39"/>
    <n v="8"/>
    <n v="42"/>
    <n v="0"/>
    <n v="110"/>
    <n v="37"/>
    <n v="1560"/>
    <n v="65"/>
    <n v="51"/>
    <n v="17"/>
    <n v="4"/>
    <n v="15"/>
    <n v="14"/>
    <n v="40"/>
    <n v="8"/>
    <n v="30"/>
    <n v="30"/>
    <n v="15"/>
  </r>
  <r>
    <x v="2"/>
    <s v="Southern Style Crispy Chicken Sandwich"/>
    <s v="5.6 oz (160 g)"/>
    <x v="5"/>
    <n v="170"/>
    <n v="19"/>
    <n v="29"/>
    <n v="3"/>
    <n v="15"/>
    <n v="0"/>
    <n v="45"/>
    <n v="14"/>
    <n v="910"/>
    <n v="38"/>
    <n v="43"/>
    <n v="14"/>
    <n v="2"/>
    <n v="7"/>
    <n v="7"/>
    <n v="21"/>
    <n v="4"/>
    <n v="2"/>
    <n v="15"/>
    <n v="15"/>
  </r>
  <r>
    <x v="2"/>
    <s v="McChicken"/>
    <s v="5.1 oz (143 g)"/>
    <x v="40"/>
    <n v="140"/>
    <n v="16"/>
    <n v="25"/>
    <n v="3"/>
    <n v="15"/>
    <n v="0"/>
    <n v="35"/>
    <n v="11"/>
    <n v="800"/>
    <n v="33"/>
    <n v="40"/>
    <n v="13"/>
    <n v="2"/>
    <n v="7"/>
    <n v="5"/>
    <n v="14"/>
    <n v="0"/>
    <n v="2"/>
    <n v="10"/>
    <n v="15"/>
  </r>
  <r>
    <x v="2"/>
    <s v="Bacon Cheddar McChicken"/>
    <s v="6 oz (171 g)"/>
    <x v="10"/>
    <n v="220"/>
    <n v="24"/>
    <n v="38"/>
    <n v="7"/>
    <n v="35"/>
    <n v="0"/>
    <n v="65"/>
    <n v="21"/>
    <n v="1260"/>
    <n v="53"/>
    <n v="43"/>
    <n v="14"/>
    <n v="2"/>
    <n v="8"/>
    <n v="6"/>
    <n v="22"/>
    <n v="4"/>
    <n v="10"/>
    <n v="20"/>
    <n v="15"/>
  </r>
  <r>
    <x v="2"/>
    <s v="Bacon Buffalo Ranch McChicken"/>
    <s v="5.7 oz (161 g)"/>
    <x v="5"/>
    <n v="190"/>
    <n v="21"/>
    <n v="32"/>
    <n v="5"/>
    <n v="25"/>
    <n v="0"/>
    <n v="50"/>
    <n v="17"/>
    <n v="1260"/>
    <n v="53"/>
    <n v="41"/>
    <n v="14"/>
    <n v="2"/>
    <n v="7"/>
    <n v="6"/>
    <n v="20"/>
    <n v="2"/>
    <n v="10"/>
    <n v="15"/>
    <n v="15"/>
  </r>
  <r>
    <x v="2"/>
    <s v="Buffalo Ranch McChicken"/>
    <s v="5.2 oz (148 g)"/>
    <x v="40"/>
    <n v="150"/>
    <n v="16"/>
    <n v="25"/>
    <n v="3"/>
    <n v="16"/>
    <n v="0"/>
    <n v="35"/>
    <n v="11"/>
    <n v="990"/>
    <n v="41"/>
    <n v="40"/>
    <n v="13"/>
    <n v="2"/>
    <n v="7"/>
    <n v="5"/>
    <n v="14"/>
    <n v="2"/>
    <n v="2"/>
    <n v="15"/>
    <n v="15"/>
  </r>
  <r>
    <x v="2"/>
    <s v="Premium McWrap Chicken &amp; Bacon (Crispy Chicken)"/>
    <s v="11.1 oz (316 g)"/>
    <x v="41"/>
    <n v="280"/>
    <n v="32"/>
    <n v="49"/>
    <n v="9"/>
    <n v="45"/>
    <n v="0.5"/>
    <n v="80"/>
    <n v="26"/>
    <n v="1540"/>
    <n v="64"/>
    <n v="56"/>
    <n v="19"/>
    <n v="3"/>
    <n v="13"/>
    <n v="7"/>
    <n v="32"/>
    <n v="60"/>
    <n v="20"/>
    <n v="20"/>
    <n v="20"/>
  </r>
  <r>
    <x v="2"/>
    <s v="Premium McWrap Chicken &amp; Bacon (Grilled Chicken)"/>
    <s v="10.7 oz (302 g)"/>
    <x v="10"/>
    <n v="170"/>
    <n v="19"/>
    <n v="28"/>
    <n v="7"/>
    <n v="36"/>
    <n v="0"/>
    <n v="95"/>
    <n v="32"/>
    <n v="1370"/>
    <n v="57"/>
    <n v="42"/>
    <n v="14"/>
    <n v="3"/>
    <n v="13"/>
    <n v="6"/>
    <n v="36"/>
    <n v="60"/>
    <n v="25"/>
    <n v="20"/>
    <n v="20"/>
  </r>
  <r>
    <x v="2"/>
    <s v="Premium McWrap Chicken &amp; Ranch (Crispy Chicken)"/>
    <s v="10.9 oz (310 g)"/>
    <x v="33"/>
    <n v="280"/>
    <n v="31"/>
    <n v="47"/>
    <n v="8"/>
    <n v="40"/>
    <n v="0.5"/>
    <n v="65"/>
    <n v="21"/>
    <n v="1340"/>
    <n v="56"/>
    <n v="56"/>
    <n v="19"/>
    <n v="3"/>
    <n v="14"/>
    <n v="8"/>
    <n v="27"/>
    <n v="60"/>
    <n v="15"/>
    <n v="20"/>
    <n v="20"/>
  </r>
  <r>
    <x v="2"/>
    <s v="Premium McWrap Chicken &amp; Ranch (Grilled Chicken)"/>
    <s v="10.5 oz (297 g)"/>
    <x v="3"/>
    <n v="160"/>
    <n v="18"/>
    <n v="27"/>
    <n v="6"/>
    <n v="31"/>
    <n v="0.5"/>
    <n v="80"/>
    <n v="27"/>
    <n v="1170"/>
    <n v="49"/>
    <n v="42"/>
    <n v="14"/>
    <n v="3"/>
    <n v="14"/>
    <n v="6"/>
    <n v="30"/>
    <n v="60"/>
    <n v="15"/>
    <n v="15"/>
    <n v="20"/>
  </r>
  <r>
    <x v="2"/>
    <s v="Premium McWrap Southwest Chicken (Crispy Chicken)"/>
    <s v="11.1 oz (314 g)"/>
    <x v="18"/>
    <n v="300"/>
    <n v="33"/>
    <n v="51"/>
    <n v="8"/>
    <n v="40"/>
    <n v="0.5"/>
    <n v="60"/>
    <n v="21"/>
    <n v="1480"/>
    <n v="62"/>
    <n v="68"/>
    <n v="23"/>
    <n v="5"/>
    <n v="19"/>
    <n v="12"/>
    <n v="27"/>
    <n v="60"/>
    <n v="15"/>
    <n v="20"/>
    <n v="20"/>
  </r>
  <r>
    <x v="2"/>
    <s v="Premium McWrap Southwest Chicken (Grilled Chicken)"/>
    <s v="11.2 oz (318 g)"/>
    <x v="7"/>
    <n v="180"/>
    <n v="20"/>
    <n v="31"/>
    <n v="6"/>
    <n v="32"/>
    <n v="0"/>
    <n v="80"/>
    <n v="27"/>
    <n v="1320"/>
    <n v="55"/>
    <n v="55"/>
    <n v="18"/>
    <n v="5"/>
    <n v="20"/>
    <n v="10"/>
    <n v="31"/>
    <n v="70"/>
    <n v="15"/>
    <n v="20"/>
    <n v="20"/>
  </r>
  <r>
    <x v="2"/>
    <s v="Premium McWrap Chicken Sweet Chili (Crispy Chicken)"/>
    <s v="10.7 oz (304 g)"/>
    <x v="13"/>
    <n v="200"/>
    <n v="23"/>
    <n v="35"/>
    <n v="4.5"/>
    <n v="23"/>
    <n v="0"/>
    <n v="50"/>
    <n v="16"/>
    <n v="1260"/>
    <n v="52"/>
    <n v="61"/>
    <n v="20"/>
    <n v="3"/>
    <n v="13"/>
    <n v="14"/>
    <n v="23"/>
    <n v="60"/>
    <n v="15"/>
    <n v="8"/>
    <n v="20"/>
  </r>
  <r>
    <x v="2"/>
    <s v="Premium McWrap Chicken Sweet Chili (Grilled Chicken)"/>
    <s v="10.3 oz (291 g)"/>
    <x v="37"/>
    <n v="90"/>
    <n v="10"/>
    <n v="15"/>
    <n v="3"/>
    <n v="14"/>
    <n v="0"/>
    <n v="65"/>
    <n v="22"/>
    <n v="1090"/>
    <n v="45"/>
    <n v="47"/>
    <n v="16"/>
    <n v="3"/>
    <n v="13"/>
    <n v="12"/>
    <n v="27"/>
    <n v="60"/>
    <n v="15"/>
    <n v="8"/>
    <n v="20"/>
  </r>
  <r>
    <x v="2"/>
    <s v="Chicken McNuggets (4 piece)"/>
    <s v="2.3 oz (65 g)"/>
    <x v="42"/>
    <n v="110"/>
    <n v="12"/>
    <n v="18"/>
    <n v="2"/>
    <n v="10"/>
    <n v="0"/>
    <n v="25"/>
    <n v="9"/>
    <n v="360"/>
    <n v="15"/>
    <n v="12"/>
    <n v="4"/>
    <n v="1"/>
    <n v="2"/>
    <n v="0"/>
    <n v="9"/>
    <n v="0"/>
    <n v="2"/>
    <n v="0"/>
    <n v="2"/>
  </r>
  <r>
    <x v="2"/>
    <s v="Chicken McNuggets (6 piece)"/>
    <s v="3.4 oz (97 g)"/>
    <x v="43"/>
    <n v="160"/>
    <n v="18"/>
    <n v="27"/>
    <n v="3"/>
    <n v="15"/>
    <n v="0"/>
    <n v="40"/>
    <n v="13"/>
    <n v="540"/>
    <n v="22"/>
    <n v="18"/>
    <n v="6"/>
    <n v="1"/>
    <n v="4"/>
    <n v="0"/>
    <n v="13"/>
    <n v="0"/>
    <n v="2"/>
    <n v="2"/>
    <n v="4"/>
  </r>
  <r>
    <x v="2"/>
    <s v="Chicken McNuggets (10 piece)"/>
    <s v="5.7 oz (162 g)"/>
    <x v="9"/>
    <n v="270"/>
    <n v="30"/>
    <n v="45"/>
    <n v="5"/>
    <n v="25"/>
    <n v="0"/>
    <n v="65"/>
    <n v="22"/>
    <n v="900"/>
    <n v="37"/>
    <n v="30"/>
    <n v="10"/>
    <n v="2"/>
    <n v="6"/>
    <n v="0"/>
    <n v="22"/>
    <n v="0"/>
    <n v="4"/>
    <n v="2"/>
    <n v="6"/>
  </r>
  <r>
    <x v="2"/>
    <s v="Chicken McNuggets (20 piece)"/>
    <s v="11.4 oz (323 g)"/>
    <x v="44"/>
    <n v="530"/>
    <n v="59"/>
    <n v="91"/>
    <n v="10"/>
    <n v="50"/>
    <n v="0"/>
    <n v="135"/>
    <n v="44"/>
    <n v="1800"/>
    <n v="75"/>
    <n v="59"/>
    <n v="20"/>
    <n v="3"/>
    <n v="12"/>
    <n v="0"/>
    <n v="44"/>
    <n v="0"/>
    <n v="8"/>
    <n v="4"/>
    <n v="10"/>
  </r>
  <r>
    <x v="2"/>
    <s v="Chicken McNuggets (40 piece)"/>
    <s v="22.8 oz (646 g)"/>
    <x v="45"/>
    <n v="1060"/>
    <n v="118"/>
    <n v="182"/>
    <n v="20"/>
    <n v="101"/>
    <n v="1"/>
    <n v="265"/>
    <n v="89"/>
    <n v="3600"/>
    <n v="150"/>
    <n v="118"/>
    <n v="39"/>
    <n v="6"/>
    <n v="24"/>
    <n v="1"/>
    <n v="87"/>
    <n v="0"/>
    <n v="15"/>
    <n v="8"/>
    <n v="25"/>
  </r>
  <r>
    <x v="2"/>
    <s v="Filet-O-Fish"/>
    <s v="5 oz (142 g)"/>
    <x v="46"/>
    <n v="170"/>
    <n v="19"/>
    <n v="29"/>
    <n v="4"/>
    <n v="19"/>
    <n v="0"/>
    <n v="40"/>
    <n v="14"/>
    <n v="590"/>
    <n v="24"/>
    <n v="39"/>
    <n v="13"/>
    <n v="2"/>
    <n v="7"/>
    <n v="5"/>
    <n v="15"/>
    <n v="2"/>
    <n v="0"/>
    <n v="15"/>
    <n v="10"/>
  </r>
  <r>
    <x v="3"/>
    <s v="Premium Bacon Ranch Salad (without Chicken)"/>
    <s v="7.9 oz (223 g)"/>
    <x v="47"/>
    <n v="70"/>
    <n v="7"/>
    <n v="11"/>
    <n v="3.5"/>
    <n v="18"/>
    <n v="0"/>
    <n v="25"/>
    <n v="9"/>
    <n v="300"/>
    <n v="13"/>
    <n v="10"/>
    <n v="3"/>
    <n v="3"/>
    <n v="12"/>
    <n v="4"/>
    <n v="9"/>
    <n v="170"/>
    <n v="30"/>
    <n v="15"/>
    <n v="6"/>
  </r>
  <r>
    <x v="3"/>
    <s v="Premium Bacon Ranch Salad with Crispy Chicken"/>
    <s v="9 oz (255 g)"/>
    <x v="37"/>
    <n v="190"/>
    <n v="21"/>
    <n v="33"/>
    <n v="6"/>
    <n v="29"/>
    <n v="0"/>
    <n v="70"/>
    <n v="23"/>
    <n v="860"/>
    <n v="36"/>
    <n v="22"/>
    <n v="7"/>
    <n v="2"/>
    <n v="10"/>
    <n v="5"/>
    <n v="25"/>
    <n v="100"/>
    <n v="25"/>
    <n v="15"/>
    <n v="8"/>
  </r>
  <r>
    <x v="3"/>
    <s v="Premium Bacon Ranch Salad with Grilled Chicken"/>
    <s v="8.5 oz (241 g)"/>
    <x v="48"/>
    <n v="80"/>
    <n v="8"/>
    <n v="13"/>
    <n v="4"/>
    <n v="20"/>
    <n v="0"/>
    <n v="85"/>
    <n v="29"/>
    <n v="690"/>
    <n v="29"/>
    <n v="8"/>
    <n v="3"/>
    <n v="2"/>
    <n v="10"/>
    <n v="4"/>
    <n v="29"/>
    <n v="110"/>
    <n v="30"/>
    <n v="15"/>
    <n v="8"/>
  </r>
  <r>
    <x v="3"/>
    <s v="Premium Southwest Salad (without Chicken)"/>
    <s v="8.1 oz (230 g)"/>
    <x v="47"/>
    <n v="40"/>
    <n v="4.5"/>
    <n v="7"/>
    <n v="2"/>
    <n v="9"/>
    <n v="0"/>
    <n v="10"/>
    <n v="3"/>
    <n v="150"/>
    <n v="6"/>
    <n v="20"/>
    <n v="7"/>
    <n v="6"/>
    <n v="23"/>
    <n v="6"/>
    <n v="6"/>
    <n v="160"/>
    <n v="25"/>
    <n v="15"/>
    <n v="10"/>
  </r>
  <r>
    <x v="3"/>
    <s v="Premium Southwest Salad with Crispy Chicken"/>
    <s v="12.3 oz (348 g)"/>
    <x v="3"/>
    <n v="190"/>
    <n v="22"/>
    <n v="33"/>
    <n v="4.5"/>
    <n v="22"/>
    <n v="0"/>
    <n v="50"/>
    <n v="17"/>
    <n v="850"/>
    <n v="35"/>
    <n v="42"/>
    <n v="14"/>
    <n v="7"/>
    <n v="28"/>
    <n v="12"/>
    <n v="23"/>
    <n v="170"/>
    <n v="30"/>
    <n v="15"/>
    <n v="15"/>
  </r>
  <r>
    <x v="3"/>
    <s v="Premium Southwest Salad with Grilled Chicken"/>
    <s v="11.8 oz (335 g)"/>
    <x v="29"/>
    <n v="80"/>
    <n v="8"/>
    <n v="13"/>
    <n v="2.5"/>
    <n v="13"/>
    <n v="0"/>
    <n v="70"/>
    <n v="23"/>
    <n v="680"/>
    <n v="28"/>
    <n v="28"/>
    <n v="9"/>
    <n v="7"/>
    <n v="28"/>
    <n v="10"/>
    <n v="27"/>
    <n v="170"/>
    <n v="30"/>
    <n v="15"/>
    <n v="15"/>
  </r>
  <r>
    <x v="4"/>
    <s v="Chipotle BBQ Snack Wrap (Crispy Chicken)"/>
    <s v="4.6 oz (130 g)"/>
    <x v="49"/>
    <n v="130"/>
    <n v="15"/>
    <n v="23"/>
    <n v="4.5"/>
    <n v="22"/>
    <n v="0"/>
    <n v="30"/>
    <n v="11"/>
    <n v="780"/>
    <n v="33"/>
    <n v="37"/>
    <n v="12"/>
    <n v="1"/>
    <n v="6"/>
    <n v="8"/>
    <n v="14"/>
    <n v="4"/>
    <n v="0"/>
    <n v="10"/>
    <n v="10"/>
  </r>
  <r>
    <x v="4"/>
    <s v="Chipotle BBQ Snack Wrap (Grilled Chicken)"/>
    <s v="4.3 oz (123 g)"/>
    <x v="30"/>
    <n v="70"/>
    <n v="8"/>
    <n v="13"/>
    <n v="3.5"/>
    <n v="18"/>
    <n v="0"/>
    <n v="40"/>
    <n v="14"/>
    <n v="700"/>
    <n v="29"/>
    <n v="30"/>
    <n v="10"/>
    <n v="1"/>
    <n v="6"/>
    <n v="7"/>
    <n v="16"/>
    <n v="4"/>
    <n v="2"/>
    <n v="10"/>
    <n v="10"/>
  </r>
  <r>
    <x v="4"/>
    <s v="Honey Mustard Snack Wrap (Crispy Chicken)"/>
    <s v="4.3 oz (123 g)"/>
    <x v="50"/>
    <n v="130"/>
    <n v="15"/>
    <n v="23"/>
    <n v="4.5"/>
    <n v="22"/>
    <n v="0"/>
    <n v="35"/>
    <n v="11"/>
    <n v="730"/>
    <n v="30"/>
    <n v="34"/>
    <n v="11"/>
    <n v="1"/>
    <n v="5"/>
    <n v="3"/>
    <n v="14"/>
    <n v="2"/>
    <n v="0"/>
    <n v="10"/>
    <n v="10"/>
  </r>
  <r>
    <x v="4"/>
    <s v="Honey Mustard Snack Wrap (Grilled Chicken)"/>
    <s v="4.1 oz (116 g)"/>
    <x v="1"/>
    <n v="70"/>
    <n v="8"/>
    <n v="13"/>
    <n v="3.5"/>
    <n v="18"/>
    <n v="0"/>
    <n v="45"/>
    <n v="14"/>
    <n v="650"/>
    <n v="27"/>
    <n v="27"/>
    <n v="9"/>
    <n v="1"/>
    <n v="5"/>
    <n v="2"/>
    <n v="16"/>
    <n v="2"/>
    <n v="2"/>
    <n v="10"/>
    <n v="10"/>
  </r>
  <r>
    <x v="4"/>
    <s v="Ranch Snack Wrap (Crispy Chicken)"/>
    <s v="4.5 oz (128 g)"/>
    <x v="40"/>
    <n v="180"/>
    <n v="20"/>
    <n v="30"/>
    <n v="5"/>
    <n v="27"/>
    <n v="0"/>
    <n v="40"/>
    <n v="13"/>
    <n v="810"/>
    <n v="34"/>
    <n v="32"/>
    <n v="11"/>
    <n v="1"/>
    <n v="5"/>
    <n v="3"/>
    <n v="15"/>
    <n v="2"/>
    <n v="0"/>
    <n v="10"/>
    <n v="10"/>
  </r>
  <r>
    <x v="4"/>
    <s v="Ranch Snack Wrap (Grilled Chicken)"/>
    <s v="4.3 oz (121 g)"/>
    <x v="43"/>
    <n v="120"/>
    <n v="13"/>
    <n v="20"/>
    <n v="4.5"/>
    <n v="22"/>
    <n v="0"/>
    <n v="45"/>
    <n v="16"/>
    <n v="720"/>
    <n v="30"/>
    <n v="25"/>
    <n v="8"/>
    <n v="1"/>
    <n v="5"/>
    <n v="2"/>
    <n v="16"/>
    <n v="2"/>
    <n v="2"/>
    <n v="10"/>
    <n v="10"/>
  </r>
  <r>
    <x v="4"/>
    <s v="Small French Fries"/>
    <s v="2.6 oz (75 g)"/>
    <x v="51"/>
    <n v="100"/>
    <n v="11"/>
    <n v="17"/>
    <n v="1.5"/>
    <n v="8"/>
    <n v="0"/>
    <n v="0"/>
    <n v="0"/>
    <n v="130"/>
    <n v="5"/>
    <n v="30"/>
    <n v="10"/>
    <n v="2"/>
    <n v="10"/>
    <n v="0"/>
    <n v="2"/>
    <n v="0"/>
    <n v="30"/>
    <n v="0"/>
    <n v="4"/>
  </r>
  <r>
    <x v="4"/>
    <s v="Medium French Fries"/>
    <s v="3.9 oz (111 g)"/>
    <x v="49"/>
    <n v="140"/>
    <n v="16"/>
    <n v="24"/>
    <n v="2.5"/>
    <n v="11"/>
    <n v="0"/>
    <n v="0"/>
    <n v="0"/>
    <n v="190"/>
    <n v="8"/>
    <n v="44"/>
    <n v="15"/>
    <n v="4"/>
    <n v="14"/>
    <n v="0"/>
    <n v="4"/>
    <n v="0"/>
    <n v="45"/>
    <n v="2"/>
    <n v="4"/>
  </r>
  <r>
    <x v="4"/>
    <s v="Large French Fries"/>
    <s v="5.9 oz (168 g)"/>
    <x v="11"/>
    <n v="220"/>
    <n v="24"/>
    <n v="37"/>
    <n v="3.5"/>
    <n v="17"/>
    <n v="0"/>
    <n v="0"/>
    <n v="0"/>
    <n v="290"/>
    <n v="12"/>
    <n v="67"/>
    <n v="22"/>
    <n v="5"/>
    <n v="22"/>
    <n v="0"/>
    <n v="6"/>
    <n v="0"/>
    <n v="70"/>
    <n v="2"/>
    <n v="8"/>
  </r>
  <r>
    <x v="4"/>
    <s v="Kids French Fries"/>
    <s v="1.3 oz (38 g)"/>
    <x v="52"/>
    <n v="50"/>
    <n v="5"/>
    <n v="8"/>
    <n v="1"/>
    <n v="4"/>
    <n v="0"/>
    <n v="0"/>
    <n v="0"/>
    <n v="65"/>
    <n v="3"/>
    <n v="15"/>
    <n v="5"/>
    <n v="1"/>
    <n v="5"/>
    <n v="0"/>
    <n v="1"/>
    <n v="0"/>
    <n v="15"/>
    <n v="0"/>
    <n v="2"/>
  </r>
  <r>
    <x v="4"/>
    <s v="Side Salad"/>
    <s v="3.1 oz (87 g)"/>
    <x v="53"/>
    <n v="0"/>
    <n v="0"/>
    <n v="0"/>
    <n v="0"/>
    <n v="0"/>
    <n v="0"/>
    <n v="0"/>
    <n v="0"/>
    <n v="10"/>
    <n v="0"/>
    <n v="4"/>
    <n v="1"/>
    <n v="1"/>
    <n v="6"/>
    <n v="2"/>
    <n v="1"/>
    <n v="45"/>
    <n v="25"/>
    <n v="2"/>
    <n v="4"/>
  </r>
  <r>
    <x v="4"/>
    <s v="Apple Slices"/>
    <s v="1.2 oz (34 g)"/>
    <x v="54"/>
    <n v="0"/>
    <n v="0"/>
    <n v="0"/>
    <n v="0"/>
    <n v="0"/>
    <n v="0"/>
    <n v="0"/>
    <n v="0"/>
    <n v="0"/>
    <n v="0"/>
    <n v="4"/>
    <n v="1"/>
    <n v="0"/>
    <n v="0"/>
    <n v="3"/>
    <n v="0"/>
    <n v="0"/>
    <n v="160"/>
    <n v="2"/>
    <n v="0"/>
  </r>
  <r>
    <x v="4"/>
    <s v="Fruit 'n Yogurt Parfait"/>
    <s v="5.2 oz (149 g)"/>
    <x v="28"/>
    <n v="20"/>
    <n v="2"/>
    <n v="3"/>
    <n v="1"/>
    <n v="5"/>
    <n v="0"/>
    <n v="5"/>
    <n v="2"/>
    <n v="70"/>
    <n v="3"/>
    <n v="30"/>
    <n v="10"/>
    <n v="1"/>
    <n v="3"/>
    <n v="23"/>
    <n v="4"/>
    <n v="2"/>
    <n v="15"/>
    <n v="10"/>
    <n v="4"/>
  </r>
  <r>
    <x v="5"/>
    <s v="Baked Apple Pie"/>
    <s v="2.7 oz (77 g)"/>
    <x v="1"/>
    <n v="110"/>
    <n v="13"/>
    <n v="19"/>
    <n v="7"/>
    <n v="35"/>
    <n v="0"/>
    <n v="0"/>
    <n v="0"/>
    <n v="170"/>
    <n v="7"/>
    <n v="32"/>
    <n v="11"/>
    <n v="4"/>
    <n v="15"/>
    <n v="13"/>
    <n v="2"/>
    <n v="4"/>
    <n v="25"/>
    <n v="2"/>
    <n v="6"/>
  </r>
  <r>
    <x v="5"/>
    <s v="Chocolate Chip Cookie"/>
    <s v="1 cookie (33 g)"/>
    <x v="55"/>
    <n v="70"/>
    <n v="8"/>
    <n v="12"/>
    <n v="3.5"/>
    <n v="19"/>
    <n v="0"/>
    <n v="10"/>
    <n v="3"/>
    <n v="90"/>
    <n v="4"/>
    <n v="21"/>
    <n v="7"/>
    <n v="1"/>
    <n v="3"/>
    <n v="15"/>
    <n v="2"/>
    <n v="2"/>
    <n v="0"/>
    <n v="2"/>
    <n v="8"/>
  </r>
  <r>
    <x v="5"/>
    <s v="Oatmeal Raisin Cookie"/>
    <s v="1 cookie (33 g)"/>
    <x v="28"/>
    <n v="50"/>
    <n v="6"/>
    <n v="9"/>
    <n v="2.5"/>
    <n v="13"/>
    <n v="0"/>
    <n v="10"/>
    <n v="3"/>
    <n v="135"/>
    <n v="6"/>
    <n v="22"/>
    <n v="7"/>
    <n v="1"/>
    <n v="3"/>
    <n v="13"/>
    <n v="2"/>
    <n v="2"/>
    <n v="0"/>
    <n v="2"/>
    <n v="6"/>
  </r>
  <r>
    <x v="5"/>
    <s v="Kids Ice Cream Cone"/>
    <s v="1 oz (29 g)"/>
    <x v="56"/>
    <n v="10"/>
    <n v="1.5"/>
    <n v="2"/>
    <n v="1"/>
    <n v="4"/>
    <n v="0"/>
    <n v="5"/>
    <n v="2"/>
    <n v="20"/>
    <n v="1"/>
    <n v="7"/>
    <n v="2"/>
    <n v="0"/>
    <n v="0"/>
    <n v="6"/>
    <n v="1"/>
    <n v="2"/>
    <n v="0"/>
    <n v="4"/>
    <n v="0"/>
  </r>
  <r>
    <x v="5"/>
    <s v="Hot Fudge Sundae"/>
    <s v="6.3 oz (179 g)"/>
    <x v="50"/>
    <n v="80"/>
    <n v="9"/>
    <n v="14"/>
    <n v="7"/>
    <n v="34"/>
    <n v="0"/>
    <n v="25"/>
    <n v="8"/>
    <n v="170"/>
    <n v="7"/>
    <n v="53"/>
    <n v="18"/>
    <n v="1"/>
    <n v="3"/>
    <n v="48"/>
    <n v="8"/>
    <n v="8"/>
    <n v="0"/>
    <n v="25"/>
    <n v="8"/>
  </r>
  <r>
    <x v="5"/>
    <s v="Hot Caramel Sundae"/>
    <s v="6.4 oz (182 g)"/>
    <x v="49"/>
    <n v="70"/>
    <n v="8"/>
    <n v="12"/>
    <n v="5"/>
    <n v="24"/>
    <n v="0"/>
    <n v="30"/>
    <n v="10"/>
    <n v="150"/>
    <n v="6"/>
    <n v="60"/>
    <n v="20"/>
    <n v="0"/>
    <n v="0"/>
    <n v="43"/>
    <n v="7"/>
    <n v="10"/>
    <n v="0"/>
    <n v="25"/>
    <n v="0"/>
  </r>
  <r>
    <x v="5"/>
    <s v="Strawberry Sundae"/>
    <s v="6.3 oz (178 g)"/>
    <x v="43"/>
    <n v="60"/>
    <n v="6"/>
    <n v="10"/>
    <n v="4"/>
    <n v="20"/>
    <n v="0"/>
    <n v="25"/>
    <n v="8"/>
    <n v="85"/>
    <n v="4"/>
    <n v="49"/>
    <n v="16"/>
    <n v="0"/>
    <n v="0"/>
    <n v="45"/>
    <n v="6"/>
    <n v="8"/>
    <n v="4"/>
    <n v="20"/>
    <n v="0"/>
  </r>
  <r>
    <x v="6"/>
    <s v="Coca-Cola Classic (Small)"/>
    <s v="16 fl oz cup"/>
    <x v="47"/>
    <n v="0"/>
    <n v="0"/>
    <n v="0"/>
    <n v="0"/>
    <n v="0"/>
    <n v="0"/>
    <n v="0"/>
    <n v="0"/>
    <n v="0"/>
    <n v="0"/>
    <n v="39"/>
    <n v="13"/>
    <n v="0"/>
    <n v="0"/>
    <n v="39"/>
    <n v="0"/>
    <n v="0"/>
    <n v="0"/>
    <n v="0"/>
    <n v="0"/>
  </r>
  <r>
    <x v="6"/>
    <s v="Coca-Cola Classic (Medium)"/>
    <s v="21 fl oz cup"/>
    <x v="57"/>
    <n v="0"/>
    <n v="0"/>
    <n v="0"/>
    <n v="0"/>
    <n v="0"/>
    <n v="0"/>
    <n v="0"/>
    <n v="0"/>
    <n v="5"/>
    <n v="0"/>
    <n v="55"/>
    <n v="18"/>
    <n v="0"/>
    <n v="0"/>
    <n v="55"/>
    <n v="0"/>
    <n v="0"/>
    <n v="0"/>
    <n v="0"/>
    <n v="0"/>
  </r>
  <r>
    <x v="6"/>
    <s v="Coca-Cola Classic (Large)"/>
    <s v="30 fl oz cup"/>
    <x v="43"/>
    <n v="0"/>
    <n v="0"/>
    <n v="0"/>
    <n v="0"/>
    <n v="0"/>
    <n v="0"/>
    <n v="0"/>
    <n v="0"/>
    <n v="5"/>
    <n v="0"/>
    <n v="76"/>
    <n v="25"/>
    <n v="0"/>
    <n v="0"/>
    <n v="76"/>
    <n v="0"/>
    <n v="0"/>
    <n v="0"/>
    <n v="0"/>
    <n v="0"/>
  </r>
  <r>
    <x v="6"/>
    <s v="Coca-Cola Classic (Child)"/>
    <s v="12 fl oz cup"/>
    <x v="58"/>
    <n v="0"/>
    <n v="0"/>
    <n v="0"/>
    <n v="0"/>
    <n v="0"/>
    <n v="0"/>
    <n v="0"/>
    <n v="0"/>
    <n v="0"/>
    <n v="0"/>
    <n v="28"/>
    <n v="9"/>
    <n v="0"/>
    <n v="0"/>
    <n v="28"/>
    <n v="0"/>
    <n v="0"/>
    <n v="0"/>
    <n v="0"/>
    <n v="0"/>
  </r>
  <r>
    <x v="6"/>
    <s v="Diet Coke (Small)"/>
    <s v="16 fl oz cup"/>
    <x v="59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</r>
  <r>
    <x v="6"/>
    <s v="Diet Coke (Medium)"/>
    <s v="21 fl oz cup"/>
    <x v="59"/>
    <n v="0"/>
    <n v="0"/>
    <n v="0"/>
    <n v="0"/>
    <n v="0"/>
    <n v="0"/>
    <n v="0"/>
    <n v="0"/>
    <n v="20"/>
    <n v="1"/>
    <n v="0"/>
    <n v="0"/>
    <n v="0"/>
    <n v="0"/>
    <n v="0"/>
    <n v="0"/>
    <n v="0"/>
    <n v="0"/>
    <n v="0"/>
    <n v="0"/>
  </r>
  <r>
    <x v="6"/>
    <s v="Diet Coke (Large)"/>
    <s v="30 fl oz cup"/>
    <x v="59"/>
    <n v="0"/>
    <n v="0"/>
    <n v="0"/>
    <n v="0"/>
    <n v="0"/>
    <n v="0"/>
    <n v="0"/>
    <n v="0"/>
    <n v="35"/>
    <n v="1"/>
    <n v="0"/>
    <n v="0"/>
    <n v="0"/>
    <n v="0"/>
    <n v="0"/>
    <n v="0"/>
    <n v="0"/>
    <n v="0"/>
    <n v="0"/>
    <n v="0"/>
  </r>
  <r>
    <x v="6"/>
    <s v="Diet Coke (Child)"/>
    <s v="12 fl oz cup"/>
    <x v="59"/>
    <n v="0"/>
    <n v="0"/>
    <n v="0"/>
    <n v="0"/>
    <n v="0"/>
    <n v="0"/>
    <n v="0"/>
    <n v="0"/>
    <n v="15"/>
    <n v="1"/>
    <n v="0"/>
    <n v="0"/>
    <n v="0"/>
    <n v="0"/>
    <n v="0"/>
    <n v="0"/>
    <n v="0"/>
    <n v="0"/>
    <n v="0"/>
    <n v="0"/>
  </r>
  <r>
    <x v="6"/>
    <s v="Dr Pepper (Small)"/>
    <s v="16 fl oz cup"/>
    <x v="47"/>
    <n v="0"/>
    <n v="0"/>
    <n v="0"/>
    <n v="0"/>
    <n v="0"/>
    <n v="0"/>
    <n v="0"/>
    <n v="0"/>
    <n v="45"/>
    <n v="2"/>
    <n v="37"/>
    <n v="12"/>
    <n v="0"/>
    <n v="0"/>
    <n v="35"/>
    <n v="0"/>
    <n v="0"/>
    <n v="0"/>
    <n v="0"/>
    <n v="0"/>
  </r>
  <r>
    <x v="6"/>
    <s v="Dr Pepper (Medium)"/>
    <s v="21 fl oz cup"/>
    <x v="42"/>
    <n v="0"/>
    <n v="0"/>
    <n v="0"/>
    <n v="0"/>
    <n v="0"/>
    <n v="0"/>
    <n v="0"/>
    <n v="0"/>
    <n v="65"/>
    <n v="3"/>
    <n v="53"/>
    <n v="18"/>
    <n v="0"/>
    <n v="0"/>
    <n v="51"/>
    <n v="0"/>
    <n v="0"/>
    <n v="0"/>
    <n v="0"/>
    <n v="0"/>
  </r>
  <r>
    <x v="6"/>
    <s v="Dr Pepper (Large)"/>
    <s v="30 fl oz cup"/>
    <x v="60"/>
    <n v="0"/>
    <n v="0"/>
    <n v="0"/>
    <n v="0"/>
    <n v="0"/>
    <n v="0"/>
    <n v="0"/>
    <n v="0"/>
    <n v="90"/>
    <n v="4"/>
    <n v="72"/>
    <n v="24"/>
    <n v="0"/>
    <n v="0"/>
    <n v="70"/>
    <n v="0"/>
    <n v="0"/>
    <n v="0"/>
    <n v="0"/>
    <n v="0"/>
  </r>
  <r>
    <x v="6"/>
    <s v="Dr Pepper (Child)"/>
    <s v="12 fl oz cup"/>
    <x v="58"/>
    <n v="0"/>
    <n v="0"/>
    <n v="0"/>
    <n v="0"/>
    <n v="0"/>
    <n v="0"/>
    <n v="0"/>
    <n v="0"/>
    <n v="30"/>
    <n v="1"/>
    <n v="27"/>
    <n v="9"/>
    <n v="0"/>
    <n v="0"/>
    <n v="26"/>
    <n v="0"/>
    <n v="0"/>
    <n v="0"/>
    <n v="0"/>
    <n v="0"/>
  </r>
  <r>
    <x v="6"/>
    <s v="Diet Dr Pepper (Small)"/>
    <s v="16 fl oz cup"/>
    <x v="59"/>
    <n v="0"/>
    <n v="0"/>
    <n v="0"/>
    <n v="0"/>
    <n v="0"/>
    <n v="0"/>
    <n v="0"/>
    <n v="0"/>
    <n v="70"/>
    <n v="3"/>
    <n v="0"/>
    <n v="0"/>
    <n v="0"/>
    <n v="0"/>
    <n v="0"/>
    <n v="2"/>
    <n v="0"/>
    <n v="0"/>
    <n v="0"/>
    <n v="0"/>
  </r>
  <r>
    <x v="6"/>
    <s v="Diet Dr Pepper (Medium)"/>
    <s v="21 fl oz cup"/>
    <x v="59"/>
    <n v="0"/>
    <n v="0"/>
    <n v="0"/>
    <n v="0"/>
    <n v="0"/>
    <n v="0"/>
    <n v="0"/>
    <n v="0"/>
    <n v="100"/>
    <n v="4"/>
    <n v="0"/>
    <n v="0"/>
    <n v="0"/>
    <n v="0"/>
    <n v="0"/>
    <n v="3"/>
    <n v="0"/>
    <n v="0"/>
    <n v="0"/>
    <n v="0"/>
  </r>
  <r>
    <x v="6"/>
    <s v="Diet Dr Pepper (Large)"/>
    <s v="30 fl oz cup"/>
    <x v="59"/>
    <n v="0"/>
    <n v="0"/>
    <n v="0"/>
    <n v="0"/>
    <n v="0"/>
    <n v="0"/>
    <n v="0"/>
    <n v="0"/>
    <n v="140"/>
    <n v="6"/>
    <n v="0"/>
    <n v="0"/>
    <n v="0"/>
    <n v="0"/>
    <n v="0"/>
    <n v="4"/>
    <n v="0"/>
    <n v="0"/>
    <n v="0"/>
    <n v="0"/>
  </r>
  <r>
    <x v="6"/>
    <s v="Diet Dr Pepper (Child)"/>
    <s v="12 fl oz cup"/>
    <x v="59"/>
    <n v="0"/>
    <n v="0"/>
    <n v="0"/>
    <n v="0"/>
    <n v="0"/>
    <n v="0"/>
    <n v="0"/>
    <n v="0"/>
    <n v="50"/>
    <n v="2"/>
    <n v="0"/>
    <n v="0"/>
    <n v="0"/>
    <n v="0"/>
    <n v="0"/>
    <n v="1"/>
    <n v="0"/>
    <n v="0"/>
    <n v="0"/>
    <n v="0"/>
  </r>
  <r>
    <x v="6"/>
    <s v="Sprite (Small)"/>
    <s v="16 fl oz cup"/>
    <x v="47"/>
    <n v="0"/>
    <n v="0"/>
    <n v="0"/>
    <n v="0"/>
    <n v="0"/>
    <n v="0"/>
    <n v="0"/>
    <n v="0"/>
    <n v="30"/>
    <n v="1"/>
    <n v="37"/>
    <n v="12"/>
    <n v="0"/>
    <n v="0"/>
    <n v="37"/>
    <n v="0"/>
    <n v="0"/>
    <n v="0"/>
    <n v="0"/>
    <n v="0"/>
  </r>
  <r>
    <x v="6"/>
    <s v="Sprite (Medium)"/>
    <s v="21 fl oz cup"/>
    <x v="57"/>
    <n v="0"/>
    <n v="0"/>
    <n v="0"/>
    <n v="0"/>
    <n v="0"/>
    <n v="0"/>
    <n v="0"/>
    <n v="0"/>
    <n v="45"/>
    <n v="2"/>
    <n v="54"/>
    <n v="18"/>
    <n v="0"/>
    <n v="0"/>
    <n v="54"/>
    <n v="0"/>
    <n v="0"/>
    <n v="0"/>
    <n v="0"/>
    <n v="0"/>
  </r>
  <r>
    <x v="6"/>
    <s v="Sprite (Large)"/>
    <s v="30 fl oz cup"/>
    <x v="43"/>
    <n v="0"/>
    <n v="0"/>
    <n v="0"/>
    <n v="0"/>
    <n v="0"/>
    <n v="0"/>
    <n v="0"/>
    <n v="0"/>
    <n v="60"/>
    <n v="3"/>
    <n v="74"/>
    <n v="25"/>
    <n v="0"/>
    <n v="0"/>
    <n v="74"/>
    <n v="0"/>
    <n v="0"/>
    <n v="0"/>
    <n v="0"/>
    <n v="0"/>
  </r>
  <r>
    <x v="6"/>
    <s v="Sprite (Child)"/>
    <s v="12 fl oz cup"/>
    <x v="58"/>
    <n v="0"/>
    <n v="0"/>
    <n v="0"/>
    <n v="0"/>
    <n v="0"/>
    <n v="0"/>
    <n v="0"/>
    <n v="0"/>
    <n v="25"/>
    <n v="1"/>
    <n v="27"/>
    <n v="9"/>
    <n v="0"/>
    <n v="0"/>
    <n v="27"/>
    <n v="0"/>
    <n v="0"/>
    <n v="0"/>
    <n v="0"/>
    <n v="0"/>
  </r>
  <r>
    <x v="6"/>
    <s v="1% Low Fat Milk Jug"/>
    <s v="1 carton (236 ml)"/>
    <x v="58"/>
    <n v="20"/>
    <n v="2.5"/>
    <n v="4"/>
    <n v="1.5"/>
    <n v="8"/>
    <n v="0"/>
    <n v="10"/>
    <n v="3"/>
    <n v="125"/>
    <n v="5"/>
    <n v="12"/>
    <n v="4"/>
    <n v="0"/>
    <n v="0"/>
    <n v="12"/>
    <n v="8"/>
    <n v="10"/>
    <n v="4"/>
    <n v="30"/>
    <n v="0"/>
  </r>
  <r>
    <x v="6"/>
    <s v="Fat Free Chocolate Milk Jug"/>
    <s v="1 carton (236 ml)"/>
    <x v="61"/>
    <n v="0"/>
    <n v="0"/>
    <n v="0"/>
    <n v="0"/>
    <n v="0"/>
    <n v="0"/>
    <n v="5"/>
    <n v="2"/>
    <n v="135"/>
    <n v="6"/>
    <n v="23"/>
    <n v="8"/>
    <n v="1"/>
    <n v="2"/>
    <n v="22"/>
    <n v="9"/>
    <n v="10"/>
    <n v="0"/>
    <n v="30"/>
    <n v="8"/>
  </r>
  <r>
    <x v="6"/>
    <s v="Minute Maid 100% Apple Juice Box"/>
    <s v="6 fl oz (177 ml)"/>
    <x v="62"/>
    <n v="0"/>
    <n v="0"/>
    <n v="0"/>
    <n v="0"/>
    <n v="0"/>
    <n v="0"/>
    <n v="0"/>
    <n v="0"/>
    <n v="15"/>
    <n v="1"/>
    <n v="21"/>
    <n v="7"/>
    <n v="0"/>
    <n v="0"/>
    <n v="19"/>
    <n v="0"/>
    <n v="0"/>
    <n v="100"/>
    <n v="10"/>
    <n v="0"/>
  </r>
  <r>
    <x v="6"/>
    <s v="Minute Maid Orange Juice (Small)"/>
    <s v="12 fl oz cup"/>
    <x v="28"/>
    <n v="0"/>
    <n v="0"/>
    <n v="0"/>
    <n v="0"/>
    <n v="0"/>
    <n v="0"/>
    <n v="0"/>
    <n v="0"/>
    <n v="0"/>
    <n v="0"/>
    <n v="34"/>
    <n v="11"/>
    <n v="0"/>
    <n v="0"/>
    <n v="30"/>
    <n v="2"/>
    <n v="0"/>
    <n v="130"/>
    <n v="2"/>
    <n v="0"/>
  </r>
  <r>
    <x v="6"/>
    <s v="Minute Maid Orange Juice (Medium)"/>
    <s v="16 fl oz cup"/>
    <x v="42"/>
    <n v="0"/>
    <n v="0"/>
    <n v="0"/>
    <n v="0"/>
    <n v="0"/>
    <n v="0"/>
    <n v="0"/>
    <n v="0"/>
    <n v="0"/>
    <n v="0"/>
    <n v="44"/>
    <n v="15"/>
    <n v="0"/>
    <n v="0"/>
    <n v="39"/>
    <n v="3"/>
    <n v="0"/>
    <n v="160"/>
    <n v="4"/>
    <n v="0"/>
  </r>
  <r>
    <x v="6"/>
    <s v="Minute Maid Orange Juice (Large)"/>
    <s v="22 fl oz cup"/>
    <x v="43"/>
    <n v="0"/>
    <n v="0"/>
    <n v="0"/>
    <n v="0"/>
    <n v="0"/>
    <n v="0"/>
    <n v="0"/>
    <n v="0"/>
    <n v="5"/>
    <n v="0"/>
    <n v="65"/>
    <n v="22"/>
    <n v="0"/>
    <n v="0"/>
    <n v="58"/>
    <n v="4"/>
    <n v="0"/>
    <n v="240"/>
    <n v="4"/>
    <n v="0"/>
  </r>
  <r>
    <x v="6"/>
    <s v="Dasani Water Bottle"/>
    <s v="16.9 fl oz"/>
    <x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Iced Tea (Small)"/>
    <s v="16 fl oz cup"/>
    <x v="59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</r>
  <r>
    <x v="7"/>
    <s v="Iced Tea (Medium)"/>
    <s v="21 fl oz cup"/>
    <x v="59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</r>
  <r>
    <x v="7"/>
    <s v="Iced Tea (Large)"/>
    <s v="30 fl oz cup"/>
    <x v="59"/>
    <n v="0"/>
    <n v="0"/>
    <n v="0"/>
    <n v="0"/>
    <n v="0"/>
    <n v="0"/>
    <n v="0"/>
    <n v="0"/>
    <n v="15"/>
    <n v="1"/>
    <n v="0"/>
    <n v="0"/>
    <n v="0"/>
    <n v="0"/>
    <n v="0"/>
    <n v="0"/>
    <n v="0"/>
    <n v="0"/>
    <n v="0"/>
    <n v="0"/>
  </r>
  <r>
    <x v="7"/>
    <s v="Iced Tea (Child)"/>
    <s v="12 fl oz cup"/>
    <x v="59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</r>
  <r>
    <x v="7"/>
    <s v="Sweet Tea (Small)"/>
    <s v="16 fl oz cup"/>
    <x v="28"/>
    <n v="0"/>
    <n v="0"/>
    <n v="0"/>
    <n v="0"/>
    <n v="0"/>
    <n v="0"/>
    <n v="0"/>
    <n v="0"/>
    <n v="10"/>
    <n v="0"/>
    <n v="36"/>
    <n v="12"/>
    <n v="0"/>
    <n v="0"/>
    <n v="36"/>
    <n v="1"/>
    <n v="0"/>
    <n v="0"/>
    <n v="0"/>
    <n v="0"/>
  </r>
  <r>
    <x v="7"/>
    <s v="Sweet Tea (Medium)"/>
    <s v="21 fl oz cup"/>
    <x v="63"/>
    <n v="0"/>
    <n v="0"/>
    <n v="0"/>
    <n v="0"/>
    <n v="0"/>
    <n v="0"/>
    <n v="0"/>
    <n v="0"/>
    <n v="10"/>
    <n v="0"/>
    <n v="45"/>
    <n v="15"/>
    <n v="0"/>
    <n v="0"/>
    <n v="45"/>
    <n v="1"/>
    <n v="0"/>
    <n v="0"/>
    <n v="0"/>
    <n v="0"/>
  </r>
  <r>
    <x v="7"/>
    <s v="Sweet Tea (Large)"/>
    <s v="30 fl oz cup"/>
    <x v="48"/>
    <n v="0"/>
    <n v="0"/>
    <n v="0"/>
    <n v="0"/>
    <n v="0"/>
    <n v="0"/>
    <n v="0"/>
    <n v="0"/>
    <n v="10"/>
    <n v="1"/>
    <n v="54"/>
    <n v="18"/>
    <n v="0"/>
    <n v="0"/>
    <n v="54"/>
    <n v="1"/>
    <n v="0"/>
    <n v="0"/>
    <n v="0"/>
    <n v="0"/>
  </r>
  <r>
    <x v="7"/>
    <s v="Sweet Tea (Child)"/>
    <s v="12 fl oz cup"/>
    <x v="52"/>
    <n v="0"/>
    <n v="0"/>
    <n v="0"/>
    <n v="0"/>
    <n v="0"/>
    <n v="0"/>
    <n v="0"/>
    <n v="0"/>
    <n v="5"/>
    <n v="0"/>
    <n v="27"/>
    <n v="9"/>
    <n v="0"/>
    <n v="0"/>
    <n v="27"/>
    <n v="0"/>
    <n v="0"/>
    <n v="0"/>
    <n v="0"/>
    <n v="0"/>
  </r>
  <r>
    <x v="7"/>
    <s v="Coffee (Small)"/>
    <s v="12 fl oz cup"/>
    <x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Coffee (Medium)"/>
    <s v="16 fl oz cup"/>
    <x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Coffee (Large)"/>
    <s v="16 fl oz cup"/>
    <x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Latte (Small)"/>
    <s v="12 fl oz cup"/>
    <x v="64"/>
    <n v="80"/>
    <n v="9"/>
    <n v="13"/>
    <n v="5"/>
    <n v="24"/>
    <n v="0"/>
    <n v="25"/>
    <n v="9"/>
    <n v="115"/>
    <n v="5"/>
    <n v="15"/>
    <n v="5"/>
    <n v="1"/>
    <n v="3"/>
    <n v="12"/>
    <n v="9"/>
    <n v="8"/>
    <n v="0"/>
    <n v="30"/>
    <n v="0"/>
  </r>
  <r>
    <x v="7"/>
    <s v="Latte (Medium)"/>
    <s v="16 fl oz cup"/>
    <x v="65"/>
    <n v="90"/>
    <n v="10"/>
    <n v="16"/>
    <n v="6"/>
    <n v="30"/>
    <n v="0"/>
    <n v="30"/>
    <n v="11"/>
    <n v="140"/>
    <n v="6"/>
    <n v="18"/>
    <n v="6"/>
    <n v="1"/>
    <n v="4"/>
    <n v="15"/>
    <n v="11"/>
    <n v="10"/>
    <n v="0"/>
    <n v="35"/>
    <n v="0"/>
  </r>
  <r>
    <x v="7"/>
    <s v="Latte (Large)"/>
    <s v="20 fl oz cup"/>
    <x v="43"/>
    <n v="120"/>
    <n v="14"/>
    <n v="21"/>
    <n v="8"/>
    <n v="39"/>
    <n v="0"/>
    <n v="40"/>
    <n v="14"/>
    <n v="180"/>
    <n v="8"/>
    <n v="24"/>
    <n v="8"/>
    <n v="1"/>
    <n v="6"/>
    <n v="20"/>
    <n v="15"/>
    <n v="15"/>
    <n v="0"/>
    <n v="50"/>
    <n v="2"/>
  </r>
  <r>
    <x v="7"/>
    <s v="Caramel Latte (Small)"/>
    <s v="12 fl oz cup"/>
    <x v="60"/>
    <n v="80"/>
    <n v="9"/>
    <n v="13"/>
    <n v="5"/>
    <n v="24"/>
    <n v="0"/>
    <n v="25"/>
    <n v="9"/>
    <n v="115"/>
    <n v="5"/>
    <n v="40"/>
    <n v="13"/>
    <n v="1"/>
    <n v="3"/>
    <n v="38"/>
    <n v="9"/>
    <n v="8"/>
    <n v="0"/>
    <n v="30"/>
    <n v="0"/>
  </r>
  <r>
    <x v="7"/>
    <s v="Caramel Latte (Medium)"/>
    <s v="16 fl oz cup"/>
    <x v="49"/>
    <n v="90"/>
    <n v="10"/>
    <n v="16"/>
    <n v="6"/>
    <n v="30"/>
    <n v="0"/>
    <n v="30"/>
    <n v="11"/>
    <n v="140"/>
    <n v="6"/>
    <n v="50"/>
    <n v="17"/>
    <n v="1"/>
    <n v="4"/>
    <n v="48"/>
    <n v="11"/>
    <n v="10"/>
    <n v="0"/>
    <n v="35"/>
    <n v="0"/>
  </r>
  <r>
    <x v="7"/>
    <s v="Caramel Latte (Large)"/>
    <s v="20 fl oz cup"/>
    <x v="5"/>
    <n v="120"/>
    <n v="14"/>
    <n v="21"/>
    <n v="8"/>
    <n v="39"/>
    <n v="0"/>
    <n v="40"/>
    <n v="14"/>
    <n v="180"/>
    <n v="8"/>
    <n v="62"/>
    <n v="21"/>
    <n v="1"/>
    <n v="6"/>
    <n v="59"/>
    <n v="15"/>
    <n v="15"/>
    <n v="0"/>
    <n v="50"/>
    <n v="2"/>
  </r>
  <r>
    <x v="7"/>
    <s v="Hazelnut Latte (Small)"/>
    <s v="12 fl oz cup"/>
    <x v="60"/>
    <n v="80"/>
    <n v="9"/>
    <n v="13"/>
    <n v="5"/>
    <n v="24"/>
    <n v="0"/>
    <n v="25"/>
    <n v="9"/>
    <n v="115"/>
    <n v="5"/>
    <n v="40"/>
    <n v="13"/>
    <n v="1"/>
    <n v="3"/>
    <n v="38"/>
    <n v="9"/>
    <n v="8"/>
    <n v="0"/>
    <n v="30"/>
    <n v="0"/>
  </r>
  <r>
    <x v="7"/>
    <s v="Hazelnut Latte (Medium)"/>
    <s v="16 fl oz cup"/>
    <x v="50"/>
    <n v="90"/>
    <n v="10"/>
    <n v="16"/>
    <n v="6"/>
    <n v="30"/>
    <n v="0"/>
    <n v="30"/>
    <n v="11"/>
    <n v="140"/>
    <n v="6"/>
    <n v="50"/>
    <n v="17"/>
    <n v="1"/>
    <n v="4"/>
    <n v="47"/>
    <n v="11"/>
    <n v="10"/>
    <n v="0"/>
    <n v="35"/>
    <n v="0"/>
  </r>
  <r>
    <x v="7"/>
    <s v="Hazelnut Latte (Large)"/>
    <s v="20 fl oz cup"/>
    <x v="5"/>
    <n v="120"/>
    <n v="14"/>
    <n v="21"/>
    <n v="8"/>
    <n v="39"/>
    <n v="0"/>
    <n v="40"/>
    <n v="14"/>
    <n v="180"/>
    <n v="8"/>
    <n v="62"/>
    <n v="21"/>
    <n v="1"/>
    <n v="6"/>
    <n v="58"/>
    <n v="15"/>
    <n v="15"/>
    <n v="0"/>
    <n v="50"/>
    <n v="2"/>
  </r>
  <r>
    <x v="7"/>
    <s v="French Vanilla Latte (Small)"/>
    <s v="12 fl oz cup"/>
    <x v="30"/>
    <n v="80"/>
    <n v="9"/>
    <n v="13"/>
    <n v="5"/>
    <n v="24"/>
    <n v="0"/>
    <n v="25"/>
    <n v="9"/>
    <n v="115"/>
    <n v="5"/>
    <n v="38"/>
    <n v="13"/>
    <n v="1"/>
    <n v="3"/>
    <n v="36"/>
    <n v="9"/>
    <n v="8"/>
    <n v="0"/>
    <n v="30"/>
    <n v="0"/>
  </r>
  <r>
    <x v="7"/>
    <s v="French Vanilla Latte (Medium)"/>
    <s v="16 fl oz cup"/>
    <x v="50"/>
    <n v="90"/>
    <n v="10"/>
    <n v="16"/>
    <n v="6"/>
    <n v="30"/>
    <n v="0"/>
    <n v="30"/>
    <n v="11"/>
    <n v="140"/>
    <n v="6"/>
    <n v="48"/>
    <n v="16"/>
    <n v="1"/>
    <n v="4"/>
    <n v="45"/>
    <n v="11"/>
    <n v="10"/>
    <n v="0"/>
    <n v="35"/>
    <n v="2"/>
  </r>
  <r>
    <x v="7"/>
    <s v="French Vanilla Latte (Large)"/>
    <s v="20 fl oz cup"/>
    <x v="14"/>
    <n v="120"/>
    <n v="14"/>
    <n v="21"/>
    <n v="8"/>
    <n v="39"/>
    <n v="0"/>
    <n v="40"/>
    <n v="14"/>
    <n v="190"/>
    <n v="8"/>
    <n v="60"/>
    <n v="20"/>
    <n v="1"/>
    <n v="6"/>
    <n v="56"/>
    <n v="15"/>
    <n v="15"/>
    <n v="0"/>
    <n v="50"/>
    <n v="2"/>
  </r>
  <r>
    <x v="7"/>
    <s v="Latte with Sugar Free French Vanilla Syrup (Small)"/>
    <s v="12 fl oz cup"/>
    <x v="65"/>
    <n v="80"/>
    <n v="9"/>
    <n v="13"/>
    <n v="5"/>
    <n v="24"/>
    <n v="0"/>
    <n v="25"/>
    <n v="9"/>
    <n v="150"/>
    <n v="6"/>
    <n v="24"/>
    <n v="8"/>
    <n v="1"/>
    <n v="4"/>
    <n v="12"/>
    <n v="9"/>
    <n v="8"/>
    <n v="0"/>
    <n v="30"/>
    <n v="0"/>
  </r>
  <r>
    <x v="7"/>
    <s v="Latte with Sugar Free French Vanilla Syrup (Medium)"/>
    <s v="16 fl oz cup"/>
    <x v="30"/>
    <n v="90"/>
    <n v="10"/>
    <n v="16"/>
    <n v="6"/>
    <n v="30"/>
    <n v="0"/>
    <n v="30"/>
    <n v="11"/>
    <n v="190"/>
    <n v="8"/>
    <n v="29"/>
    <n v="10"/>
    <n v="1"/>
    <n v="5"/>
    <n v="15"/>
    <n v="12"/>
    <n v="10"/>
    <n v="0"/>
    <n v="35"/>
    <n v="0"/>
  </r>
  <r>
    <x v="7"/>
    <s v="Latte with Sugar Free French Vanilla Syrup (Large)"/>
    <s v="20 fl oz cup"/>
    <x v="50"/>
    <n v="120"/>
    <n v="14"/>
    <n v="21"/>
    <n v="8"/>
    <n v="39"/>
    <n v="0"/>
    <n v="40"/>
    <n v="14"/>
    <n v="240"/>
    <n v="10"/>
    <n v="37"/>
    <n v="12"/>
    <n v="2"/>
    <n v="7"/>
    <n v="20"/>
    <n v="15"/>
    <n v="15"/>
    <n v="0"/>
    <n v="50"/>
    <n v="2"/>
  </r>
  <r>
    <x v="7"/>
    <s v="Nonfat Latte (Small)"/>
    <s v="12 fl oz cup"/>
    <x v="58"/>
    <n v="0"/>
    <n v="0"/>
    <n v="0"/>
    <n v="0"/>
    <n v="0"/>
    <n v="0"/>
    <n v="5"/>
    <n v="2"/>
    <n v="110"/>
    <n v="5"/>
    <n v="15"/>
    <n v="5"/>
    <n v="1"/>
    <n v="3"/>
    <n v="13"/>
    <n v="10"/>
    <n v="10"/>
    <n v="0"/>
    <n v="30"/>
    <n v="0"/>
  </r>
  <r>
    <x v="7"/>
    <s v="Nonfat Latte (Medium)"/>
    <s v="16 fl oz cup"/>
    <x v="61"/>
    <n v="0"/>
    <n v="0"/>
    <n v="0"/>
    <n v="0"/>
    <n v="0"/>
    <n v="0"/>
    <n v="5"/>
    <n v="2"/>
    <n v="135"/>
    <n v="6"/>
    <n v="19"/>
    <n v="6"/>
    <n v="1"/>
    <n v="4"/>
    <n v="16"/>
    <n v="12"/>
    <n v="15"/>
    <n v="0"/>
    <n v="40"/>
    <n v="0"/>
  </r>
  <r>
    <x v="7"/>
    <s v="Nonfat Latte (Large)"/>
    <s v="20 fl oz cup"/>
    <x v="64"/>
    <n v="0"/>
    <n v="0.5"/>
    <n v="1"/>
    <n v="0"/>
    <n v="0"/>
    <n v="0"/>
    <n v="10"/>
    <n v="3"/>
    <n v="180"/>
    <n v="7"/>
    <n v="25"/>
    <n v="8"/>
    <n v="1"/>
    <n v="6"/>
    <n v="21"/>
    <n v="16"/>
    <n v="15"/>
    <n v="0"/>
    <n v="50"/>
    <n v="2"/>
  </r>
  <r>
    <x v="7"/>
    <s v="Nonfat Caramel Latte (Small)"/>
    <s v="12 fl oz cup"/>
    <x v="57"/>
    <n v="0"/>
    <n v="0"/>
    <n v="0"/>
    <n v="0"/>
    <n v="0"/>
    <n v="0"/>
    <n v="5"/>
    <n v="2"/>
    <n v="110"/>
    <n v="5"/>
    <n v="41"/>
    <n v="14"/>
    <n v="1"/>
    <n v="3"/>
    <n v="39"/>
    <n v="10"/>
    <n v="10"/>
    <n v="0"/>
    <n v="30"/>
    <n v="0"/>
  </r>
  <r>
    <x v="7"/>
    <s v="Nonfat Caramel Latte (Medium)"/>
    <s v="16 fl oz cup"/>
    <x v="1"/>
    <n v="0"/>
    <n v="0"/>
    <n v="0"/>
    <n v="0"/>
    <n v="0"/>
    <n v="0"/>
    <n v="5"/>
    <n v="2"/>
    <n v="135"/>
    <n v="6"/>
    <n v="51"/>
    <n v="17"/>
    <n v="1"/>
    <n v="4"/>
    <n v="48"/>
    <n v="12"/>
    <n v="15"/>
    <n v="0"/>
    <n v="40"/>
    <n v="0"/>
  </r>
  <r>
    <x v="7"/>
    <s v="Nonfat Caramel Latte (Large)"/>
    <s v="20 fl oz cup"/>
    <x v="66"/>
    <n v="0"/>
    <n v="0.5"/>
    <n v="1"/>
    <n v="0"/>
    <n v="0"/>
    <n v="0"/>
    <n v="10"/>
    <n v="3"/>
    <n v="180"/>
    <n v="7"/>
    <n v="63"/>
    <n v="21"/>
    <n v="1"/>
    <n v="6"/>
    <n v="59"/>
    <n v="16"/>
    <n v="15"/>
    <n v="0"/>
    <n v="50"/>
    <n v="2"/>
  </r>
  <r>
    <x v="7"/>
    <s v="Nonfat Hazelnut Latte (Small)"/>
    <s v="12 fl oz cup"/>
    <x v="57"/>
    <n v="0"/>
    <n v="0"/>
    <n v="0"/>
    <n v="0"/>
    <n v="0"/>
    <n v="0"/>
    <n v="5"/>
    <n v="2"/>
    <n v="110"/>
    <n v="5"/>
    <n v="40"/>
    <n v="13"/>
    <n v="1"/>
    <n v="3"/>
    <n v="38"/>
    <n v="10"/>
    <n v="10"/>
    <n v="0"/>
    <n v="30"/>
    <n v="0"/>
  </r>
  <r>
    <x v="7"/>
    <s v="Nonfat Hazelnut Latte (Medium)"/>
    <s v="16 fl oz cup"/>
    <x v="1"/>
    <n v="0"/>
    <n v="0"/>
    <n v="0"/>
    <n v="0"/>
    <n v="0"/>
    <n v="0"/>
    <n v="5"/>
    <n v="2"/>
    <n v="135"/>
    <n v="6"/>
    <n v="51"/>
    <n v="17"/>
    <n v="1"/>
    <n v="4"/>
    <n v="48"/>
    <n v="12"/>
    <n v="15"/>
    <n v="0"/>
    <n v="40"/>
    <n v="0"/>
  </r>
  <r>
    <x v="7"/>
    <s v="Nonfat Hazelnut Latte (Large)"/>
    <s v="20 fl oz cup"/>
    <x v="66"/>
    <n v="0"/>
    <n v="0.5"/>
    <n v="1"/>
    <n v="0"/>
    <n v="0"/>
    <n v="0"/>
    <n v="10"/>
    <n v="3"/>
    <n v="180"/>
    <n v="7"/>
    <n v="63"/>
    <n v="21"/>
    <n v="1"/>
    <n v="6"/>
    <n v="59"/>
    <n v="16"/>
    <n v="15"/>
    <n v="0"/>
    <n v="50"/>
    <n v="2"/>
  </r>
  <r>
    <x v="7"/>
    <s v="Nonfat French Vanilla Latte (Small)"/>
    <s v="12 fl oz cup"/>
    <x v="42"/>
    <n v="0"/>
    <n v="0"/>
    <n v="0"/>
    <n v="0"/>
    <n v="0"/>
    <n v="0"/>
    <n v="5"/>
    <n v="2"/>
    <n v="115"/>
    <n v="5"/>
    <n v="39"/>
    <n v="13"/>
    <n v="1"/>
    <n v="3"/>
    <n v="37"/>
    <n v="10"/>
    <n v="10"/>
    <n v="0"/>
    <n v="30"/>
    <n v="0"/>
  </r>
  <r>
    <x v="7"/>
    <s v="Nonfat French Vanilla Latte (Medium)"/>
    <s v="16 fl oz cup"/>
    <x v="35"/>
    <n v="0"/>
    <n v="0"/>
    <n v="0"/>
    <n v="0"/>
    <n v="0"/>
    <n v="0"/>
    <n v="5"/>
    <n v="2"/>
    <n v="140"/>
    <n v="6"/>
    <n v="49"/>
    <n v="16"/>
    <n v="1"/>
    <n v="4"/>
    <n v="46"/>
    <n v="12"/>
    <n v="15"/>
    <n v="0"/>
    <n v="40"/>
    <n v="2"/>
  </r>
  <r>
    <x v="7"/>
    <s v="Nonfat French Vanilla Latte (Large)"/>
    <s v="20 fl oz cup"/>
    <x v="0"/>
    <n v="0"/>
    <n v="0.5"/>
    <n v="1"/>
    <n v="0"/>
    <n v="0"/>
    <n v="0"/>
    <n v="10"/>
    <n v="3"/>
    <n v="180"/>
    <n v="8"/>
    <n v="60"/>
    <n v="20"/>
    <n v="1"/>
    <n v="6"/>
    <n v="56"/>
    <n v="16"/>
    <n v="15"/>
    <n v="0"/>
    <n v="50"/>
    <n v="2"/>
  </r>
  <r>
    <x v="7"/>
    <s v="Nonfat Latte with Sugar Free French Vanilla Syrup (Small)"/>
    <s v="12 fl oz cup"/>
    <x v="47"/>
    <n v="0"/>
    <n v="0"/>
    <n v="0"/>
    <n v="0"/>
    <n v="0"/>
    <n v="0"/>
    <n v="5"/>
    <n v="2"/>
    <n v="150"/>
    <n v="6"/>
    <n v="24"/>
    <n v="8"/>
    <n v="1"/>
    <n v="4"/>
    <n v="13"/>
    <n v="10"/>
    <n v="10"/>
    <n v="0"/>
    <n v="30"/>
    <n v="0"/>
  </r>
  <r>
    <x v="7"/>
    <s v="Nonfat Latte with Sugar Free French Vanilla Syrup (Medium)"/>
    <s v="16 fl oz cup"/>
    <x v="64"/>
    <n v="0"/>
    <n v="0"/>
    <n v="0"/>
    <n v="0"/>
    <n v="0"/>
    <n v="0"/>
    <n v="5"/>
    <n v="2"/>
    <n v="180"/>
    <n v="8"/>
    <n v="30"/>
    <n v="10"/>
    <n v="1"/>
    <n v="5"/>
    <n v="16"/>
    <n v="12"/>
    <n v="15"/>
    <n v="0"/>
    <n v="40"/>
    <n v="0"/>
  </r>
  <r>
    <x v="7"/>
    <s v="Nonfat Latte with Sugar Free French Vanilla Syrup (Large)"/>
    <s v="20 fl oz cup"/>
    <x v="48"/>
    <n v="0"/>
    <n v="0.5"/>
    <n v="1"/>
    <n v="0"/>
    <n v="0"/>
    <n v="0"/>
    <n v="10"/>
    <n v="3"/>
    <n v="240"/>
    <n v="10"/>
    <n v="38"/>
    <n v="13"/>
    <n v="2"/>
    <n v="7"/>
    <n v="21"/>
    <n v="16"/>
    <n v="15"/>
    <n v="0"/>
    <n v="50"/>
    <n v="2"/>
  </r>
  <r>
    <x v="7"/>
    <s v="Mocha (Small)"/>
    <s v="12 fl oz cup"/>
    <x v="49"/>
    <n v="100"/>
    <n v="11"/>
    <n v="18"/>
    <n v="7"/>
    <n v="34"/>
    <n v="0"/>
    <n v="35"/>
    <n v="12"/>
    <n v="150"/>
    <n v="6"/>
    <n v="49"/>
    <n v="16"/>
    <n v="2"/>
    <n v="6"/>
    <n v="42"/>
    <n v="10"/>
    <n v="10"/>
    <n v="0"/>
    <n v="30"/>
    <n v="6"/>
  </r>
  <r>
    <x v="7"/>
    <s v="Mocha (Medium)"/>
    <s v="16 fl oz cup"/>
    <x v="8"/>
    <n v="120"/>
    <n v="14"/>
    <n v="21"/>
    <n v="8"/>
    <n v="40"/>
    <n v="0"/>
    <n v="40"/>
    <n v="14"/>
    <n v="190"/>
    <n v="8"/>
    <n v="60"/>
    <n v="20"/>
    <n v="2"/>
    <n v="8"/>
    <n v="53"/>
    <n v="13"/>
    <n v="10"/>
    <n v="0"/>
    <n v="40"/>
    <n v="6"/>
  </r>
  <r>
    <x v="7"/>
    <s v="Mocha (Large)"/>
    <s v="20 fl oz cup"/>
    <x v="16"/>
    <n v="150"/>
    <n v="17"/>
    <n v="26"/>
    <n v="10"/>
    <n v="49"/>
    <n v="0.5"/>
    <n v="50"/>
    <n v="17"/>
    <n v="240"/>
    <n v="10"/>
    <n v="72"/>
    <n v="24"/>
    <n v="2"/>
    <n v="10"/>
    <n v="63"/>
    <n v="16"/>
    <n v="15"/>
    <n v="0"/>
    <n v="50"/>
    <n v="8"/>
  </r>
  <r>
    <x v="7"/>
    <s v="Mocha with Nonfat Milk (Small)"/>
    <s v="12 fl oz cup"/>
    <x v="60"/>
    <n v="30"/>
    <n v="3.5"/>
    <n v="5"/>
    <n v="2"/>
    <n v="11"/>
    <n v="0"/>
    <n v="15"/>
    <n v="5"/>
    <n v="150"/>
    <n v="6"/>
    <n v="49"/>
    <n v="16"/>
    <n v="2"/>
    <n v="6"/>
    <n v="43"/>
    <n v="11"/>
    <n v="10"/>
    <n v="0"/>
    <n v="35"/>
    <n v="6"/>
  </r>
  <r>
    <x v="7"/>
    <s v="Mocha with Nonfat Milk (Medium)"/>
    <s v="16 fl oz cup"/>
    <x v="50"/>
    <n v="30"/>
    <n v="3.5"/>
    <n v="6"/>
    <n v="2"/>
    <n v="11"/>
    <n v="0"/>
    <n v="15"/>
    <n v="5"/>
    <n v="190"/>
    <n v="8"/>
    <n v="60"/>
    <n v="20"/>
    <n v="2"/>
    <n v="8"/>
    <n v="53"/>
    <n v="13"/>
    <n v="15"/>
    <n v="0"/>
    <n v="40"/>
    <n v="6"/>
  </r>
  <r>
    <x v="7"/>
    <s v="Mocha with Nonfat Milk (Large)"/>
    <s v="20 fl oz cup"/>
    <x v="46"/>
    <n v="35"/>
    <n v="4"/>
    <n v="6"/>
    <n v="2.5"/>
    <n v="12"/>
    <n v="0"/>
    <n v="20"/>
    <n v="6"/>
    <n v="240"/>
    <n v="10"/>
    <n v="73"/>
    <n v="24"/>
    <n v="2"/>
    <n v="10"/>
    <n v="64"/>
    <n v="17"/>
    <n v="20"/>
    <n v="0"/>
    <n v="50"/>
    <n v="8"/>
  </r>
  <r>
    <x v="7"/>
    <s v="Caramel Mocha (Small)"/>
    <s v="12 fl oz cup"/>
    <x v="67"/>
    <n v="100"/>
    <n v="11"/>
    <n v="17"/>
    <n v="7"/>
    <n v="33"/>
    <n v="0"/>
    <n v="35"/>
    <n v="12"/>
    <n v="170"/>
    <n v="7"/>
    <n v="45"/>
    <n v="15"/>
    <n v="1"/>
    <n v="3"/>
    <n v="40"/>
    <n v="10"/>
    <n v="10"/>
    <n v="0"/>
    <n v="30"/>
    <n v="2"/>
  </r>
  <r>
    <x v="7"/>
    <s v="Caramel Mocha (Medium)"/>
    <s v="16 fl oz cup"/>
    <x v="46"/>
    <n v="120"/>
    <n v="14"/>
    <n v="21"/>
    <n v="8"/>
    <n v="40"/>
    <n v="0.5"/>
    <n v="40"/>
    <n v="14"/>
    <n v="220"/>
    <n v="9"/>
    <n v="55"/>
    <n v="18"/>
    <n v="1"/>
    <n v="4"/>
    <n v="50"/>
    <n v="12"/>
    <n v="15"/>
    <n v="0"/>
    <n v="40"/>
    <n v="2"/>
  </r>
  <r>
    <x v="7"/>
    <s v="Caramel Mocha (Large)"/>
    <s v="20 fl oz cup"/>
    <x v="10"/>
    <n v="150"/>
    <n v="17"/>
    <n v="26"/>
    <n v="10"/>
    <n v="49"/>
    <n v="0.5"/>
    <n v="50"/>
    <n v="17"/>
    <n v="270"/>
    <n v="11"/>
    <n v="66"/>
    <n v="22"/>
    <n v="1"/>
    <n v="5"/>
    <n v="60"/>
    <n v="16"/>
    <n v="15"/>
    <n v="0"/>
    <n v="50"/>
    <n v="4"/>
  </r>
  <r>
    <x v="7"/>
    <s v="Nonfat Caramel Mocha (Small)"/>
    <s v="12 fl oz cup"/>
    <x v="1"/>
    <n v="30"/>
    <n v="3.5"/>
    <n v="5"/>
    <n v="2"/>
    <n v="10"/>
    <n v="0"/>
    <n v="15"/>
    <n v="5"/>
    <n v="170"/>
    <n v="7"/>
    <n v="45"/>
    <n v="15"/>
    <n v="1"/>
    <n v="3"/>
    <n v="41"/>
    <n v="10"/>
    <n v="10"/>
    <n v="0"/>
    <n v="35"/>
    <n v="2"/>
  </r>
  <r>
    <x v="7"/>
    <s v="Nonfat Caramel Mocha (Medium)"/>
    <s v="16 fl oz cup"/>
    <x v="66"/>
    <n v="30"/>
    <n v="3.5"/>
    <n v="5"/>
    <n v="2"/>
    <n v="11"/>
    <n v="0"/>
    <n v="15"/>
    <n v="5"/>
    <n v="210"/>
    <n v="9"/>
    <n v="56"/>
    <n v="19"/>
    <n v="1"/>
    <n v="4"/>
    <n v="51"/>
    <n v="13"/>
    <n v="15"/>
    <n v="0"/>
    <n v="40"/>
    <n v="2"/>
  </r>
  <r>
    <x v="7"/>
    <s v="Nonfat Caramel Mocha (Large)"/>
    <s v="20 fl oz cup"/>
    <x v="2"/>
    <n v="35"/>
    <n v="3.5"/>
    <n v="6"/>
    <n v="2.5"/>
    <n v="11"/>
    <n v="0"/>
    <n v="20"/>
    <n v="6"/>
    <n v="270"/>
    <n v="11"/>
    <n v="67"/>
    <n v="22"/>
    <n v="1"/>
    <n v="5"/>
    <n v="61"/>
    <n v="17"/>
    <n v="20"/>
    <n v="0"/>
    <n v="50"/>
    <n v="4"/>
  </r>
  <r>
    <x v="7"/>
    <s v="Hot Chocolate (Small)"/>
    <s v="12 fl oz cup"/>
    <x v="40"/>
    <n v="120"/>
    <n v="13"/>
    <n v="21"/>
    <n v="8"/>
    <n v="39"/>
    <n v="0"/>
    <n v="40"/>
    <n v="14"/>
    <n v="180"/>
    <n v="8"/>
    <n v="50"/>
    <n v="17"/>
    <n v="1"/>
    <n v="3"/>
    <n v="45"/>
    <n v="11"/>
    <n v="10"/>
    <n v="0"/>
    <n v="40"/>
    <n v="6"/>
  </r>
  <r>
    <x v="7"/>
    <s v="Hot Chocolate (Medium)"/>
    <s v="16 fl oz cup"/>
    <x v="38"/>
    <n v="140"/>
    <n v="16"/>
    <n v="25"/>
    <n v="9"/>
    <n v="47"/>
    <n v="0.5"/>
    <n v="50"/>
    <n v="16"/>
    <n v="220"/>
    <n v="9"/>
    <n v="61"/>
    <n v="20"/>
    <n v="1"/>
    <n v="4"/>
    <n v="56"/>
    <n v="14"/>
    <n v="15"/>
    <n v="0"/>
    <n v="45"/>
    <n v="6"/>
  </r>
  <r>
    <x v="7"/>
    <s v="Hot Chocolate (Large)"/>
    <s v="20 fl oz cup"/>
    <x v="13"/>
    <n v="180"/>
    <n v="20"/>
    <n v="31"/>
    <n v="12"/>
    <n v="58"/>
    <n v="0.5"/>
    <n v="60"/>
    <n v="20"/>
    <n v="280"/>
    <n v="12"/>
    <n v="73"/>
    <n v="24"/>
    <n v="1"/>
    <n v="5"/>
    <n v="68"/>
    <n v="17"/>
    <n v="20"/>
    <n v="0"/>
    <n v="60"/>
    <n v="8"/>
  </r>
  <r>
    <x v="7"/>
    <s v="Hot Chocolate with Nonfat Milk (Small)"/>
    <s v="12 fl oz cup"/>
    <x v="43"/>
    <n v="30"/>
    <n v="3.5"/>
    <n v="5"/>
    <n v="2"/>
    <n v="11"/>
    <n v="0"/>
    <n v="15"/>
    <n v="5"/>
    <n v="180"/>
    <n v="7"/>
    <n v="50"/>
    <n v="17"/>
    <n v="1"/>
    <n v="3"/>
    <n v="46"/>
    <n v="12"/>
    <n v="15"/>
    <n v="0"/>
    <n v="40"/>
    <n v="6"/>
  </r>
  <r>
    <x v="7"/>
    <s v="Hot Chocolate with Nonfat Milk (Medium)"/>
    <s v="16 fl oz cup"/>
    <x v="49"/>
    <n v="30"/>
    <n v="3.5"/>
    <n v="5"/>
    <n v="2"/>
    <n v="11"/>
    <n v="0"/>
    <n v="15"/>
    <n v="6"/>
    <n v="220"/>
    <n v="9"/>
    <n v="61"/>
    <n v="20"/>
    <n v="1"/>
    <n v="4"/>
    <n v="57"/>
    <n v="14"/>
    <n v="20"/>
    <n v="0"/>
    <n v="50"/>
    <n v="6"/>
  </r>
  <r>
    <x v="7"/>
    <s v="Hot Chocolate with Nonfat Milk (Large)"/>
    <s v="20 fl oz cup"/>
    <x v="4"/>
    <n v="35"/>
    <n v="3.5"/>
    <n v="6"/>
    <n v="2.5"/>
    <n v="12"/>
    <n v="0"/>
    <n v="20"/>
    <n v="7"/>
    <n v="280"/>
    <n v="12"/>
    <n v="74"/>
    <n v="25"/>
    <n v="1"/>
    <n v="5"/>
    <n v="69"/>
    <n v="19"/>
    <n v="25"/>
    <n v="0"/>
    <n v="60"/>
    <n v="8"/>
  </r>
  <r>
    <x v="7"/>
    <s v="Regular Iced Coffee (Small)"/>
    <s v="16 fl oz cup"/>
    <x v="47"/>
    <n v="40"/>
    <n v="4.5"/>
    <n v="7"/>
    <n v="3"/>
    <n v="15"/>
    <n v="0"/>
    <n v="15"/>
    <n v="6"/>
    <n v="35"/>
    <n v="1"/>
    <n v="23"/>
    <n v="8"/>
    <n v="0"/>
    <n v="0"/>
    <n v="22"/>
    <n v="1"/>
    <n v="4"/>
    <n v="0"/>
    <n v="4"/>
    <n v="0"/>
  </r>
  <r>
    <x v="7"/>
    <s v="Regular Iced Coffee (Medium)"/>
    <s v="22 fl oz cup"/>
    <x v="42"/>
    <n v="60"/>
    <n v="7"/>
    <n v="11"/>
    <n v="4.5"/>
    <n v="22"/>
    <n v="0"/>
    <n v="25"/>
    <n v="9"/>
    <n v="50"/>
    <n v="2"/>
    <n v="31"/>
    <n v="10"/>
    <n v="0"/>
    <n v="0"/>
    <n v="30"/>
    <n v="1"/>
    <n v="4"/>
    <n v="0"/>
    <n v="4"/>
    <n v="0"/>
  </r>
  <r>
    <x v="7"/>
    <s v="Regular Iced Coffee (Large)"/>
    <s v="32 fl oz cup"/>
    <x v="60"/>
    <n v="80"/>
    <n v="9"/>
    <n v="14"/>
    <n v="6"/>
    <n v="29"/>
    <n v="0"/>
    <n v="35"/>
    <n v="12"/>
    <n v="75"/>
    <n v="3"/>
    <n v="47"/>
    <n v="16"/>
    <n v="0"/>
    <n v="0"/>
    <n v="45"/>
    <n v="2"/>
    <n v="6"/>
    <n v="0"/>
    <n v="8"/>
    <n v="0"/>
  </r>
  <r>
    <x v="7"/>
    <s v="Caramel Iced Coffee (Small)"/>
    <s v="16 fl oz cup"/>
    <x v="61"/>
    <n v="40"/>
    <n v="4.5"/>
    <n v="7"/>
    <n v="3"/>
    <n v="15"/>
    <n v="0"/>
    <n v="15"/>
    <n v="6"/>
    <n v="35"/>
    <n v="2"/>
    <n v="22"/>
    <n v="7"/>
    <n v="0"/>
    <n v="0"/>
    <n v="21"/>
    <n v="1"/>
    <n v="4"/>
    <n v="0"/>
    <n v="4"/>
    <n v="0"/>
  </r>
  <r>
    <x v="7"/>
    <s v="Caramel Iced Coffee (Medium)"/>
    <s v="22 fl oz cup"/>
    <x v="63"/>
    <n v="60"/>
    <n v="7"/>
    <n v="11"/>
    <n v="4.5"/>
    <n v="22"/>
    <n v="0"/>
    <n v="25"/>
    <n v="9"/>
    <n v="50"/>
    <n v="2"/>
    <n v="29"/>
    <n v="10"/>
    <n v="0"/>
    <n v="0"/>
    <n v="28"/>
    <n v="1"/>
    <n v="4"/>
    <n v="0"/>
    <n v="4"/>
    <n v="0"/>
  </r>
  <r>
    <x v="7"/>
    <s v="Caramel Iced Coffee (Large)"/>
    <s v="32 fl oz cup"/>
    <x v="30"/>
    <n v="80"/>
    <n v="9"/>
    <n v="14"/>
    <n v="6"/>
    <n v="29"/>
    <n v="0"/>
    <n v="35"/>
    <n v="12"/>
    <n v="65"/>
    <n v="3"/>
    <n v="43"/>
    <n v="14"/>
    <n v="0"/>
    <n v="0"/>
    <n v="42"/>
    <n v="2"/>
    <n v="6"/>
    <n v="0"/>
    <n v="6"/>
    <n v="0"/>
  </r>
  <r>
    <x v="7"/>
    <s v="Hazelnut Iced Coffee (Small)"/>
    <s v="16 fl oz cup"/>
    <x v="61"/>
    <n v="40"/>
    <n v="4.5"/>
    <n v="7"/>
    <n v="3"/>
    <n v="15"/>
    <n v="0"/>
    <n v="15"/>
    <n v="6"/>
    <n v="35"/>
    <n v="1"/>
    <n v="21"/>
    <n v="7"/>
    <n v="0"/>
    <n v="0"/>
    <n v="20"/>
    <n v="1"/>
    <n v="4"/>
    <n v="0"/>
    <n v="4"/>
    <n v="0"/>
  </r>
  <r>
    <x v="7"/>
    <s v="Hazelnut Iced Coffee (Medium)"/>
    <s v="22 fl oz cup"/>
    <x v="63"/>
    <n v="60"/>
    <n v="7"/>
    <n v="11"/>
    <n v="4.5"/>
    <n v="22"/>
    <n v="0"/>
    <n v="25"/>
    <n v="9"/>
    <n v="50"/>
    <n v="2"/>
    <n v="29"/>
    <n v="10"/>
    <n v="0"/>
    <n v="0"/>
    <n v="28"/>
    <n v="1"/>
    <n v="4"/>
    <n v="0"/>
    <n v="4"/>
    <n v="0"/>
  </r>
  <r>
    <x v="7"/>
    <s v="Hazelnut Iced Coffee (Large)"/>
    <s v="32 fl oz cup"/>
    <x v="1"/>
    <n v="80"/>
    <n v="9"/>
    <n v="14"/>
    <n v="6"/>
    <n v="29"/>
    <n v="0"/>
    <n v="35"/>
    <n v="12"/>
    <n v="75"/>
    <n v="3"/>
    <n v="43"/>
    <n v="14"/>
    <n v="0"/>
    <n v="0"/>
    <n v="41"/>
    <n v="2"/>
    <n v="6"/>
    <n v="0"/>
    <n v="8"/>
    <n v="0"/>
  </r>
  <r>
    <x v="7"/>
    <s v="French Vanilla Iced Coffee (Small)"/>
    <s v="16 fl oz cup"/>
    <x v="68"/>
    <n v="40"/>
    <n v="4.5"/>
    <n v="7"/>
    <n v="3"/>
    <n v="15"/>
    <n v="0"/>
    <n v="15"/>
    <n v="6"/>
    <n v="40"/>
    <n v="2"/>
    <n v="20"/>
    <n v="7"/>
    <n v="0"/>
    <n v="0"/>
    <n v="19"/>
    <n v="1"/>
    <n v="4"/>
    <n v="0"/>
    <n v="4"/>
    <n v="0"/>
  </r>
  <r>
    <x v="7"/>
    <s v="French Vanilla Iced Coffee (Medium)"/>
    <s v="22 fl oz cup"/>
    <x v="64"/>
    <n v="60"/>
    <n v="7"/>
    <n v="11"/>
    <n v="4.5"/>
    <n v="22"/>
    <n v="0"/>
    <n v="25"/>
    <n v="9"/>
    <n v="55"/>
    <n v="2"/>
    <n v="27"/>
    <n v="9"/>
    <n v="0"/>
    <n v="0"/>
    <n v="26"/>
    <n v="1"/>
    <n v="4"/>
    <n v="0"/>
    <n v="4"/>
    <n v="0"/>
  </r>
  <r>
    <x v="7"/>
    <s v="French Vanilla Iced Coffee (Large)"/>
    <s v="32 fl oz cup"/>
    <x v="35"/>
    <n v="80"/>
    <n v="9"/>
    <n v="14"/>
    <n v="6"/>
    <n v="29"/>
    <n v="0"/>
    <n v="35"/>
    <n v="12"/>
    <n v="80"/>
    <n v="3"/>
    <n v="41"/>
    <n v="14"/>
    <n v="0"/>
    <n v="0"/>
    <n v="39"/>
    <n v="2"/>
    <n v="6"/>
    <n v="0"/>
    <n v="8"/>
    <n v="0"/>
  </r>
  <r>
    <x v="7"/>
    <s v="Iced Coffee with Sugar Free French Vanilla Syrup (Small)"/>
    <s v="16 fl oz cup"/>
    <x v="62"/>
    <n v="40"/>
    <n v="4.5"/>
    <n v="7"/>
    <n v="3"/>
    <n v="15"/>
    <n v="0"/>
    <n v="15"/>
    <n v="6"/>
    <n v="65"/>
    <n v="3"/>
    <n v="9"/>
    <n v="3"/>
    <n v="0"/>
    <n v="0"/>
    <n v="1"/>
    <n v="1"/>
    <n v="4"/>
    <n v="0"/>
    <n v="4"/>
    <n v="0"/>
  </r>
  <r>
    <x v="7"/>
    <s v="Iced Coffee with Sugar Free French Vanilla Syrup (Medium)"/>
    <s v="22 fl oz cup"/>
    <x v="68"/>
    <n v="60"/>
    <n v="7"/>
    <n v="11"/>
    <n v="4.5"/>
    <n v="22"/>
    <n v="0"/>
    <n v="25"/>
    <n v="9"/>
    <n v="90"/>
    <n v="4"/>
    <n v="12"/>
    <n v="4"/>
    <n v="0"/>
    <n v="0"/>
    <n v="2"/>
    <n v="1"/>
    <n v="4"/>
    <n v="0"/>
    <n v="4"/>
    <n v="0"/>
  </r>
  <r>
    <x v="7"/>
    <s v="Iced Coffee with Sugar Free French Vanilla Syrup (Large)"/>
    <s v="32 fl oz cup"/>
    <x v="55"/>
    <n v="80"/>
    <n v="9"/>
    <n v="14"/>
    <n v="6"/>
    <n v="29"/>
    <n v="0"/>
    <n v="35"/>
    <n v="12"/>
    <n v="135"/>
    <n v="6"/>
    <n v="18"/>
    <n v="6"/>
    <n v="0"/>
    <n v="0"/>
    <n v="2"/>
    <n v="2"/>
    <n v="6"/>
    <n v="0"/>
    <n v="8"/>
    <n v="0"/>
  </r>
  <r>
    <x v="7"/>
    <s v="Iced Mocha (Small)"/>
    <s v="12 fl oz cup"/>
    <x v="29"/>
    <n v="100"/>
    <n v="11"/>
    <n v="17"/>
    <n v="7"/>
    <n v="33"/>
    <n v="0"/>
    <n v="35"/>
    <n v="12"/>
    <n v="125"/>
    <n v="5"/>
    <n v="41"/>
    <n v="14"/>
    <n v="1"/>
    <n v="4"/>
    <n v="34"/>
    <n v="8"/>
    <n v="10"/>
    <n v="0"/>
    <n v="25"/>
    <n v="4"/>
  </r>
  <r>
    <x v="7"/>
    <s v="Iced Mocha (Medium)"/>
    <s v="16 fl oz cup"/>
    <x v="27"/>
    <n v="110"/>
    <n v="13"/>
    <n v="19"/>
    <n v="8"/>
    <n v="38"/>
    <n v="0"/>
    <n v="40"/>
    <n v="13"/>
    <n v="150"/>
    <n v="6"/>
    <n v="50"/>
    <n v="17"/>
    <n v="1"/>
    <n v="5"/>
    <n v="43"/>
    <n v="9"/>
    <n v="10"/>
    <n v="0"/>
    <n v="30"/>
    <n v="6"/>
  </r>
  <r>
    <x v="7"/>
    <s v="Iced Mocha (Large)"/>
    <s v="22 fl oz cup"/>
    <x v="10"/>
    <n v="150"/>
    <n v="16"/>
    <n v="25"/>
    <n v="10"/>
    <n v="49"/>
    <n v="0.5"/>
    <n v="50"/>
    <n v="17"/>
    <n v="220"/>
    <n v="9"/>
    <n v="70"/>
    <n v="23"/>
    <n v="2"/>
    <n v="8"/>
    <n v="62"/>
    <n v="14"/>
    <n v="15"/>
    <n v="0"/>
    <n v="40"/>
    <n v="8"/>
  </r>
  <r>
    <x v="7"/>
    <s v="Iced Mocha with Nonfat Milk (Small)"/>
    <s v="12 fl oz cup"/>
    <x v="35"/>
    <n v="45"/>
    <n v="5"/>
    <n v="8"/>
    <n v="3"/>
    <n v="16"/>
    <n v="0"/>
    <n v="20"/>
    <n v="7"/>
    <n v="125"/>
    <n v="5"/>
    <n v="41"/>
    <n v="14"/>
    <n v="1"/>
    <n v="4"/>
    <n v="35"/>
    <n v="8"/>
    <n v="10"/>
    <n v="0"/>
    <n v="25"/>
    <n v="4"/>
  </r>
  <r>
    <x v="7"/>
    <s v="Iced Mocha with Nonfat Milk (Medium)"/>
    <s v="16 fl oz cup"/>
    <x v="29"/>
    <n v="45"/>
    <n v="5"/>
    <n v="8"/>
    <n v="3.5"/>
    <n v="17"/>
    <n v="0"/>
    <n v="20"/>
    <n v="7"/>
    <n v="150"/>
    <n v="6"/>
    <n v="50"/>
    <n v="17"/>
    <n v="1"/>
    <n v="5"/>
    <n v="43"/>
    <n v="10"/>
    <n v="15"/>
    <n v="0"/>
    <n v="30"/>
    <n v="6"/>
  </r>
  <r>
    <x v="7"/>
    <s v="Iced Mocha with Nonfat Milk (Large)"/>
    <s v="22 fl oz cup"/>
    <x v="46"/>
    <n v="50"/>
    <n v="6"/>
    <n v="9"/>
    <n v="3.5"/>
    <n v="18"/>
    <n v="0"/>
    <n v="25"/>
    <n v="8"/>
    <n v="220"/>
    <n v="9"/>
    <n v="71"/>
    <n v="24"/>
    <n v="2"/>
    <n v="8"/>
    <n v="62"/>
    <n v="14"/>
    <n v="20"/>
    <n v="0"/>
    <n v="45"/>
    <n v="8"/>
  </r>
  <r>
    <x v="7"/>
    <s v="Iced Caramel Mocha (Small)"/>
    <s v="12 fl oz cup"/>
    <x v="43"/>
    <n v="100"/>
    <n v="11"/>
    <n v="17"/>
    <n v="7"/>
    <n v="33"/>
    <n v="0"/>
    <n v="35"/>
    <n v="12"/>
    <n v="140"/>
    <n v="6"/>
    <n v="38"/>
    <n v="13"/>
    <n v="0"/>
    <n v="0"/>
    <n v="33"/>
    <n v="8"/>
    <n v="10"/>
    <n v="0"/>
    <n v="25"/>
    <n v="2"/>
  </r>
  <r>
    <x v="7"/>
    <s v="Iced Caramel Mocha (Medium)"/>
    <s v="16 fl oz cup"/>
    <x v="49"/>
    <n v="110"/>
    <n v="13"/>
    <n v="19"/>
    <n v="7"/>
    <n v="37"/>
    <n v="0"/>
    <n v="40"/>
    <n v="13"/>
    <n v="170"/>
    <n v="7"/>
    <n v="46"/>
    <n v="15"/>
    <n v="1"/>
    <n v="2"/>
    <n v="41"/>
    <n v="9"/>
    <n v="10"/>
    <n v="0"/>
    <n v="30"/>
    <n v="2"/>
  </r>
  <r>
    <x v="7"/>
    <s v="Iced Caramel Mocha (Large)"/>
    <s v="22 fl oz cup"/>
    <x v="6"/>
    <n v="150"/>
    <n v="16"/>
    <n v="25"/>
    <n v="10"/>
    <n v="48"/>
    <n v="0.5"/>
    <n v="50"/>
    <n v="17"/>
    <n v="250"/>
    <n v="10"/>
    <n v="65"/>
    <n v="22"/>
    <n v="1"/>
    <n v="3"/>
    <n v="59"/>
    <n v="13"/>
    <n v="15"/>
    <n v="0"/>
    <n v="40"/>
    <n v="4"/>
  </r>
  <r>
    <x v="7"/>
    <s v="Iced Nonfat Caramel Mocha (Small)"/>
    <s v="12 fl oz cup"/>
    <x v="51"/>
    <n v="45"/>
    <n v="5"/>
    <n v="8"/>
    <n v="3"/>
    <n v="16"/>
    <n v="0"/>
    <n v="20"/>
    <n v="7"/>
    <n v="140"/>
    <n v="6"/>
    <n v="38"/>
    <n v="13"/>
    <n v="0"/>
    <n v="0"/>
    <n v="33"/>
    <n v="8"/>
    <n v="10"/>
    <n v="0"/>
    <n v="25"/>
    <n v="2"/>
  </r>
  <r>
    <x v="7"/>
    <s v="Iced Nonfat Caramel Mocha (Medium)"/>
    <s v="16 fl oz cup"/>
    <x v="60"/>
    <n v="45"/>
    <n v="5"/>
    <n v="8"/>
    <n v="3"/>
    <n v="16"/>
    <n v="0"/>
    <n v="20"/>
    <n v="7"/>
    <n v="170"/>
    <n v="7"/>
    <n v="47"/>
    <n v="16"/>
    <n v="1"/>
    <n v="2"/>
    <n v="41"/>
    <n v="10"/>
    <n v="15"/>
    <n v="0"/>
    <n v="30"/>
    <n v="2"/>
  </r>
  <r>
    <x v="7"/>
    <s v="Iced Nonfat Caramel Mocha (Large)"/>
    <s v="22 fl oz cup"/>
    <x v="2"/>
    <n v="50"/>
    <n v="6"/>
    <n v="8"/>
    <n v="3.5"/>
    <n v="17"/>
    <n v="0"/>
    <n v="25"/>
    <n v="8"/>
    <n v="250"/>
    <n v="10"/>
    <n v="65"/>
    <n v="22"/>
    <n v="1"/>
    <n v="3"/>
    <n v="59"/>
    <n v="14"/>
    <n v="20"/>
    <n v="0"/>
    <n v="45"/>
    <n v="4"/>
  </r>
  <r>
    <x v="7"/>
    <s v="FrappÃ© Mocha (Small)"/>
    <s v="12 fl oz cup"/>
    <x v="3"/>
    <n v="160"/>
    <n v="18"/>
    <n v="28"/>
    <n v="12"/>
    <n v="59"/>
    <n v="1"/>
    <n v="65"/>
    <n v="21"/>
    <n v="125"/>
    <n v="5"/>
    <n v="65"/>
    <n v="22"/>
    <n v="1"/>
    <n v="3"/>
    <n v="57"/>
    <n v="7"/>
    <n v="15"/>
    <n v="0"/>
    <n v="20"/>
    <n v="4"/>
  </r>
  <r>
    <x v="7"/>
    <s v="FrappÃ© Mocha (Medium)"/>
    <s v="16 fl oz cup"/>
    <x v="15"/>
    <n v="200"/>
    <n v="22"/>
    <n v="34"/>
    <n v="14"/>
    <n v="71"/>
    <n v="1"/>
    <n v="75"/>
    <n v="25"/>
    <n v="160"/>
    <n v="7"/>
    <n v="80"/>
    <n v="27"/>
    <n v="1"/>
    <n v="4"/>
    <n v="71"/>
    <n v="9"/>
    <n v="15"/>
    <n v="0"/>
    <n v="25"/>
    <n v="4"/>
  </r>
  <r>
    <x v="7"/>
    <s v="FrappÃ© Mocha (Large)"/>
    <s v="22 fl oz cup"/>
    <x v="18"/>
    <n v="240"/>
    <n v="26"/>
    <n v="41"/>
    <n v="17"/>
    <n v="85"/>
    <n v="1"/>
    <n v="90"/>
    <n v="30"/>
    <n v="190"/>
    <n v="8"/>
    <n v="98"/>
    <n v="33"/>
    <n v="1"/>
    <n v="4"/>
    <n v="88"/>
    <n v="11"/>
    <n v="20"/>
    <n v="0"/>
    <n v="35"/>
    <n v="4"/>
  </r>
  <r>
    <x v="7"/>
    <s v="FrappÃ© Caramel (Small)"/>
    <s v="12 fl oz cup"/>
    <x v="3"/>
    <n v="170"/>
    <n v="19"/>
    <n v="29"/>
    <n v="12"/>
    <n v="60"/>
    <n v="1"/>
    <n v="65"/>
    <n v="22"/>
    <n v="125"/>
    <n v="5"/>
    <n v="64"/>
    <n v="21"/>
    <n v="0"/>
    <n v="0"/>
    <n v="57"/>
    <n v="7"/>
    <n v="15"/>
    <n v="0"/>
    <n v="25"/>
    <n v="2"/>
  </r>
  <r>
    <x v="7"/>
    <s v="FrappÃ© Caramel (Medium)"/>
    <s v="16 fl oz cup"/>
    <x v="15"/>
    <n v="200"/>
    <n v="23"/>
    <n v="35"/>
    <n v="15"/>
    <n v="73"/>
    <n v="1"/>
    <n v="80"/>
    <n v="27"/>
    <n v="160"/>
    <n v="7"/>
    <n v="79"/>
    <n v="26"/>
    <n v="0"/>
    <n v="0"/>
    <n v="71"/>
    <n v="9"/>
    <n v="20"/>
    <n v="0"/>
    <n v="30"/>
    <n v="2"/>
  </r>
  <r>
    <x v="7"/>
    <s v="FrappÃ© Caramel (Large)"/>
    <s v="22 fl oz cup"/>
    <x v="18"/>
    <n v="250"/>
    <n v="27"/>
    <n v="42"/>
    <n v="17"/>
    <n v="87"/>
    <n v="1.5"/>
    <n v="95"/>
    <n v="32"/>
    <n v="190"/>
    <n v="8"/>
    <n v="96"/>
    <n v="32"/>
    <n v="0"/>
    <n v="0"/>
    <n v="88"/>
    <n v="11"/>
    <n v="20"/>
    <n v="0"/>
    <n v="35"/>
    <n v="2"/>
  </r>
  <r>
    <x v="7"/>
    <s v="FrappÃ© Chocolate Chip (Small)"/>
    <s v="12 fl oz cup"/>
    <x v="31"/>
    <n v="200"/>
    <n v="23"/>
    <n v="35"/>
    <n v="14"/>
    <n v="72"/>
    <n v="1"/>
    <n v="65"/>
    <n v="22"/>
    <n v="135"/>
    <n v="6"/>
    <n v="76"/>
    <n v="25"/>
    <n v="1"/>
    <n v="5"/>
    <n v="67"/>
    <n v="8"/>
    <n v="15"/>
    <n v="0"/>
    <n v="25"/>
    <n v="4"/>
  </r>
  <r>
    <x v="7"/>
    <s v="FrappÃ© Chocolate Chip (Medium)"/>
    <s v="16 fl oz cup"/>
    <x v="41"/>
    <n v="240"/>
    <n v="26"/>
    <n v="41"/>
    <n v="17"/>
    <n v="85"/>
    <n v="1"/>
    <n v="80"/>
    <n v="26"/>
    <n v="160"/>
    <n v="7"/>
    <n v="91"/>
    <n v="30"/>
    <n v="1"/>
    <n v="5"/>
    <n v="81"/>
    <n v="9"/>
    <n v="15"/>
    <n v="0"/>
    <n v="30"/>
    <n v="4"/>
  </r>
  <r>
    <x v="7"/>
    <s v="FrappÃ© Chocolate Chip (Large)"/>
    <s v="22 fl oz cup"/>
    <x v="69"/>
    <n v="280"/>
    <n v="31"/>
    <n v="48"/>
    <n v="20"/>
    <n v="101"/>
    <n v="1.5"/>
    <n v="95"/>
    <n v="32"/>
    <n v="200"/>
    <n v="8"/>
    <n v="111"/>
    <n v="37"/>
    <n v="1"/>
    <n v="5"/>
    <n v="99"/>
    <n v="12"/>
    <n v="20"/>
    <n v="0"/>
    <n v="35"/>
    <n v="6"/>
  </r>
  <r>
    <x v="8"/>
    <s v="Blueberry Pomegranate Smoothie (Small)"/>
    <s v="12 fl oz cup"/>
    <x v="48"/>
    <n v="5"/>
    <n v="0.5"/>
    <n v="1"/>
    <n v="0"/>
    <n v="0"/>
    <n v="0"/>
    <n v="5"/>
    <n v="1"/>
    <n v="40"/>
    <n v="2"/>
    <n v="50"/>
    <n v="17"/>
    <n v="3"/>
    <n v="12"/>
    <n v="44"/>
    <n v="2"/>
    <n v="0"/>
    <n v="2"/>
    <n v="6"/>
    <n v="2"/>
  </r>
  <r>
    <x v="8"/>
    <s v="Blueberry Pomegranate Smoothie (Medium)"/>
    <s v="16 fl oz cup"/>
    <x v="30"/>
    <n v="5"/>
    <n v="1"/>
    <n v="1"/>
    <n v="0"/>
    <n v="0"/>
    <n v="0"/>
    <n v="5"/>
    <n v="1"/>
    <n v="50"/>
    <n v="2"/>
    <n v="62"/>
    <n v="21"/>
    <n v="4"/>
    <n v="15"/>
    <n v="54"/>
    <n v="3"/>
    <n v="0"/>
    <n v="4"/>
    <n v="8"/>
    <n v="2"/>
  </r>
  <r>
    <x v="8"/>
    <s v="Blueberry Pomegranate Smoothie (Large)"/>
    <s v="22 fl oz cup"/>
    <x v="49"/>
    <n v="10"/>
    <n v="1"/>
    <n v="2"/>
    <n v="0.5"/>
    <n v="3"/>
    <n v="0"/>
    <n v="5"/>
    <n v="2"/>
    <n v="65"/>
    <n v="3"/>
    <n v="79"/>
    <n v="26"/>
    <n v="5"/>
    <n v="19"/>
    <n v="70"/>
    <n v="4"/>
    <n v="0"/>
    <n v="4"/>
    <n v="10"/>
    <n v="2"/>
  </r>
  <r>
    <x v="8"/>
    <s v="Strawberry Banana Smoothie (Small)"/>
    <s v="12 fl oz cup"/>
    <x v="65"/>
    <n v="5"/>
    <n v="0.5"/>
    <n v="1"/>
    <n v="0"/>
    <n v="0"/>
    <n v="0"/>
    <n v="5"/>
    <n v="1"/>
    <n v="50"/>
    <n v="2"/>
    <n v="47"/>
    <n v="16"/>
    <n v="3"/>
    <n v="10"/>
    <n v="44"/>
    <n v="3"/>
    <n v="0"/>
    <n v="30"/>
    <n v="8"/>
    <n v="2"/>
  </r>
  <r>
    <x v="8"/>
    <s v="Strawberry Banana Smoothie (Medium)"/>
    <s v="16 fl oz cup"/>
    <x v="1"/>
    <n v="5"/>
    <n v="1"/>
    <n v="1"/>
    <n v="0"/>
    <n v="0"/>
    <n v="0"/>
    <n v="5"/>
    <n v="1"/>
    <n v="60"/>
    <n v="2"/>
    <n v="58"/>
    <n v="19"/>
    <n v="3"/>
    <n v="13"/>
    <n v="54"/>
    <n v="4"/>
    <n v="0"/>
    <n v="35"/>
    <n v="8"/>
    <n v="4"/>
  </r>
  <r>
    <x v="8"/>
    <s v="Strawberry Banana Smoothie (Large)"/>
    <s v="22 fl oz cup"/>
    <x v="50"/>
    <n v="10"/>
    <n v="1"/>
    <n v="2"/>
    <n v="0.5"/>
    <n v="3"/>
    <n v="0"/>
    <n v="5"/>
    <n v="2"/>
    <n v="80"/>
    <n v="3"/>
    <n v="74"/>
    <n v="25"/>
    <n v="4"/>
    <n v="16"/>
    <n v="70"/>
    <n v="5"/>
    <n v="0"/>
    <n v="45"/>
    <n v="10"/>
    <n v="4"/>
  </r>
  <r>
    <x v="8"/>
    <s v="Mango Pineapple Smoothie (Small)"/>
    <s v="12 fl oz cup"/>
    <x v="65"/>
    <n v="5"/>
    <n v="0.5"/>
    <n v="1"/>
    <n v="0"/>
    <n v="0"/>
    <n v="0"/>
    <n v="5"/>
    <n v="1"/>
    <n v="40"/>
    <n v="2"/>
    <n v="50"/>
    <n v="17"/>
    <n v="1"/>
    <n v="4"/>
    <n v="46"/>
    <n v="2"/>
    <n v="30"/>
    <n v="20"/>
    <n v="8"/>
    <n v="2"/>
  </r>
  <r>
    <x v="8"/>
    <s v="Mango Pineapple Smoothie (Medium)"/>
    <s v="16 fl oz cup"/>
    <x v="30"/>
    <n v="10"/>
    <n v="1"/>
    <n v="1"/>
    <n v="0"/>
    <n v="0"/>
    <n v="0"/>
    <n v="5"/>
    <n v="1"/>
    <n v="45"/>
    <n v="2"/>
    <n v="61"/>
    <n v="20"/>
    <n v="1"/>
    <n v="5"/>
    <n v="56"/>
    <n v="3"/>
    <n v="40"/>
    <n v="25"/>
    <n v="8"/>
    <n v="2"/>
  </r>
  <r>
    <x v="8"/>
    <s v="Mango Pineapple Smoothie (Large)"/>
    <s v="22 fl oz cup"/>
    <x v="49"/>
    <n v="10"/>
    <n v="1"/>
    <n v="2"/>
    <n v="0.5"/>
    <n v="3"/>
    <n v="0"/>
    <n v="5"/>
    <n v="2"/>
    <n v="60"/>
    <n v="3"/>
    <n v="78"/>
    <n v="26"/>
    <n v="2"/>
    <n v="6"/>
    <n v="72"/>
    <n v="4"/>
    <n v="50"/>
    <n v="30"/>
    <n v="10"/>
    <n v="2"/>
  </r>
  <r>
    <x v="8"/>
    <s v="Vanilla Shake (Small)"/>
    <s v="12 fl oz cup"/>
    <x v="31"/>
    <n v="140"/>
    <n v="15"/>
    <n v="24"/>
    <n v="10"/>
    <n v="49"/>
    <n v="1"/>
    <n v="60"/>
    <n v="20"/>
    <n v="160"/>
    <n v="7"/>
    <n v="86"/>
    <n v="29"/>
    <n v="0"/>
    <n v="0"/>
    <n v="63"/>
    <n v="11"/>
    <n v="20"/>
    <n v="0"/>
    <n v="40"/>
    <n v="0"/>
  </r>
  <r>
    <x v="8"/>
    <s v="Vanilla Shake (Medium)"/>
    <s v="16 fl oz cup"/>
    <x v="70"/>
    <n v="170"/>
    <n v="19"/>
    <n v="29"/>
    <n v="12"/>
    <n v="61"/>
    <n v="1"/>
    <n v="75"/>
    <n v="24"/>
    <n v="200"/>
    <n v="9"/>
    <n v="109"/>
    <n v="36"/>
    <n v="0"/>
    <n v="0"/>
    <n v="81"/>
    <n v="14"/>
    <n v="25"/>
    <n v="0"/>
    <n v="50"/>
    <n v="0"/>
  </r>
  <r>
    <x v="8"/>
    <s v="Vanilla Shake (Large)"/>
    <s v="22 fl oz cup"/>
    <x v="71"/>
    <n v="210"/>
    <n v="23"/>
    <n v="35"/>
    <n v="15"/>
    <n v="73"/>
    <n v="1"/>
    <n v="90"/>
    <n v="29"/>
    <n v="260"/>
    <n v="11"/>
    <n v="135"/>
    <n v="45"/>
    <n v="0"/>
    <n v="0"/>
    <n v="101"/>
    <n v="18"/>
    <n v="30"/>
    <n v="0"/>
    <n v="60"/>
    <n v="0"/>
  </r>
  <r>
    <x v="8"/>
    <s v="Strawberry Shake (Small)"/>
    <s v="12 fl oz cup"/>
    <x v="15"/>
    <n v="150"/>
    <n v="16"/>
    <n v="25"/>
    <n v="10"/>
    <n v="52"/>
    <n v="1"/>
    <n v="60"/>
    <n v="21"/>
    <n v="160"/>
    <n v="7"/>
    <n v="90"/>
    <n v="30"/>
    <n v="0"/>
    <n v="0"/>
    <n v="79"/>
    <n v="12"/>
    <n v="20"/>
    <n v="0"/>
    <n v="40"/>
    <n v="0"/>
  </r>
  <r>
    <x v="8"/>
    <s v="Strawberry Shake (Medium)"/>
    <s v="16 fl oz cup"/>
    <x v="22"/>
    <n v="180"/>
    <n v="20"/>
    <n v="30"/>
    <n v="13"/>
    <n v="63"/>
    <n v="1"/>
    <n v="75"/>
    <n v="25"/>
    <n v="210"/>
    <n v="9"/>
    <n v="114"/>
    <n v="38"/>
    <n v="0"/>
    <n v="0"/>
    <n v="100"/>
    <n v="15"/>
    <n v="25"/>
    <n v="0"/>
    <n v="50"/>
    <n v="0"/>
  </r>
  <r>
    <x v="8"/>
    <s v="Strawberry Shake (Large)"/>
    <s v="22 fl oz cup"/>
    <x v="72"/>
    <n v="210"/>
    <n v="24"/>
    <n v="36"/>
    <n v="15"/>
    <n v="75"/>
    <n v="1"/>
    <n v="90"/>
    <n v="30"/>
    <n v="260"/>
    <n v="11"/>
    <n v="140"/>
    <n v="47"/>
    <n v="0"/>
    <n v="0"/>
    <n v="123"/>
    <n v="18"/>
    <n v="30"/>
    <n v="0"/>
    <n v="70"/>
    <n v="0"/>
  </r>
  <r>
    <x v="8"/>
    <s v="Chocolate Shake (Small)"/>
    <s v="12 fl oz cup"/>
    <x v="73"/>
    <n v="150"/>
    <n v="16"/>
    <n v="25"/>
    <n v="10"/>
    <n v="51"/>
    <n v="1"/>
    <n v="60"/>
    <n v="20"/>
    <n v="240"/>
    <n v="10"/>
    <n v="91"/>
    <n v="30"/>
    <n v="1"/>
    <n v="5"/>
    <n v="77"/>
    <n v="12"/>
    <n v="20"/>
    <n v="0"/>
    <n v="40"/>
    <n v="8"/>
  </r>
  <r>
    <x v="8"/>
    <s v="Chocolate Shake (Medium)"/>
    <s v="16 fl oz cup"/>
    <x v="74"/>
    <n v="180"/>
    <n v="20"/>
    <n v="30"/>
    <n v="12"/>
    <n v="62"/>
    <n v="1"/>
    <n v="75"/>
    <n v="24"/>
    <n v="300"/>
    <n v="13"/>
    <n v="114"/>
    <n v="38"/>
    <n v="2"/>
    <n v="6"/>
    <n v="97"/>
    <n v="15"/>
    <n v="25"/>
    <n v="0"/>
    <n v="50"/>
    <n v="10"/>
  </r>
  <r>
    <x v="8"/>
    <s v="Chocolate Shake (Large)"/>
    <s v="22 fl oz cup"/>
    <x v="72"/>
    <n v="210"/>
    <n v="23"/>
    <n v="36"/>
    <n v="15"/>
    <n v="74"/>
    <n v="1"/>
    <n v="85"/>
    <n v="29"/>
    <n v="380"/>
    <n v="16"/>
    <n v="141"/>
    <n v="47"/>
    <n v="2"/>
    <n v="8"/>
    <n v="120"/>
    <n v="19"/>
    <n v="30"/>
    <n v="0"/>
    <n v="60"/>
    <n v="15"/>
  </r>
  <r>
    <x v="8"/>
    <s v="Shamrock Shake (Medium)"/>
    <s v="16 fl oz cup"/>
    <x v="70"/>
    <n v="170"/>
    <n v="19"/>
    <n v="29"/>
    <n v="12"/>
    <n v="61"/>
    <n v="1"/>
    <n v="75"/>
    <n v="24"/>
    <n v="210"/>
    <n v="9"/>
    <n v="109"/>
    <n v="36"/>
    <n v="0"/>
    <n v="0"/>
    <n v="93"/>
    <n v="14"/>
    <n v="25"/>
    <n v="0"/>
    <n v="50"/>
    <n v="0"/>
  </r>
  <r>
    <x v="8"/>
    <s v="Shamrock Shake (Large)"/>
    <s v="22 fl oz cup"/>
    <x v="71"/>
    <n v="210"/>
    <n v="23"/>
    <n v="35"/>
    <n v="15"/>
    <n v="73"/>
    <n v="1"/>
    <n v="90"/>
    <n v="29"/>
    <n v="260"/>
    <n v="11"/>
    <n v="135"/>
    <n v="45"/>
    <n v="0"/>
    <n v="0"/>
    <n v="115"/>
    <n v="18"/>
    <n v="30"/>
    <n v="0"/>
    <n v="60"/>
    <n v="0"/>
  </r>
  <r>
    <x v="8"/>
    <s v="McFlurry with M&amp;Mâ€™s Candies (Small)"/>
    <s v="10.9 oz (310 g)"/>
    <x v="75"/>
    <n v="210"/>
    <n v="23"/>
    <n v="35"/>
    <n v="14"/>
    <n v="72"/>
    <n v="0.5"/>
    <n v="50"/>
    <n v="17"/>
    <n v="180"/>
    <n v="7"/>
    <n v="96"/>
    <n v="32"/>
    <n v="1"/>
    <n v="6"/>
    <n v="89"/>
    <n v="13"/>
    <n v="15"/>
    <n v="0"/>
    <n v="45"/>
    <n v="8"/>
  </r>
  <r>
    <x v="8"/>
    <s v="McFlurry with M&amp;Mâ€™s Candies (Medium)"/>
    <s v="16.2 oz (460 g)"/>
    <x v="76"/>
    <n v="290"/>
    <n v="33"/>
    <n v="50"/>
    <n v="20"/>
    <n v="102"/>
    <n v="1"/>
    <n v="75"/>
    <n v="25"/>
    <n v="260"/>
    <n v="11"/>
    <n v="139"/>
    <n v="46"/>
    <n v="2"/>
    <n v="7"/>
    <n v="128"/>
    <n v="20"/>
    <n v="25"/>
    <n v="0"/>
    <n v="70"/>
    <n v="10"/>
  </r>
  <r>
    <x v="8"/>
    <s v="McFlurry with M&amp;Mâ€™s Candies (Snack)"/>
    <s v="7.3 oz (207 g)"/>
    <x v="5"/>
    <n v="140"/>
    <n v="15"/>
    <n v="24"/>
    <n v="10"/>
    <n v="48"/>
    <n v="0"/>
    <n v="35"/>
    <n v="11"/>
    <n v="120"/>
    <n v="5"/>
    <n v="64"/>
    <n v="21"/>
    <n v="1"/>
    <n v="4"/>
    <n v="59"/>
    <n v="9"/>
    <n v="10"/>
    <n v="0"/>
    <n v="30"/>
    <n v="4"/>
  </r>
  <r>
    <x v="8"/>
    <s v="McFlurry with Oreo Cookies (Small)"/>
    <s v="10.1 oz (285 g)"/>
    <x v="11"/>
    <n v="150"/>
    <n v="17"/>
    <n v="26"/>
    <n v="9"/>
    <n v="44"/>
    <n v="0.5"/>
    <n v="45"/>
    <n v="14"/>
    <n v="280"/>
    <n v="12"/>
    <n v="80"/>
    <n v="27"/>
    <n v="1"/>
    <n v="4"/>
    <n v="64"/>
    <n v="12"/>
    <n v="15"/>
    <n v="0"/>
    <n v="40"/>
    <n v="8"/>
  </r>
  <r>
    <x v="8"/>
    <s v="McFlurry with Oreo Cookies (Medium)"/>
    <s v="13.4 oz (381 g)"/>
    <x v="22"/>
    <n v="200"/>
    <n v="23"/>
    <n v="35"/>
    <n v="12"/>
    <n v="58"/>
    <n v="1"/>
    <n v="55"/>
    <n v="19"/>
    <n v="380"/>
    <n v="16"/>
    <n v="106"/>
    <n v="35"/>
    <n v="1"/>
    <n v="5"/>
    <n v="85"/>
    <n v="15"/>
    <n v="20"/>
    <n v="0"/>
    <n v="50"/>
    <n v="10"/>
  </r>
  <r>
    <x v="8"/>
    <s v="McFlurry with Oreo Cookies (Snack)"/>
    <s v="6.7 oz (190 g)"/>
    <x v="49"/>
    <n v="100"/>
    <n v="11"/>
    <n v="17"/>
    <n v="6"/>
    <n v="29"/>
    <n v="0"/>
    <n v="30"/>
    <n v="9"/>
    <n v="190"/>
    <n v="8"/>
    <n v="53"/>
    <n v="18"/>
    <n v="1"/>
    <n v="2"/>
    <n v="43"/>
    <n v="8"/>
    <n v="10"/>
    <n v="0"/>
    <n v="25"/>
    <n v="6"/>
  </r>
  <r>
    <x v="8"/>
    <s v="McFlurry with Reese's Peanut Butter Cups (Medium)"/>
    <s v="14.2 oz (403 g)"/>
    <x v="77"/>
    <n v="290"/>
    <n v="32"/>
    <n v="50"/>
    <n v="15"/>
    <n v="76"/>
    <n v="1"/>
    <n v="60"/>
    <n v="20"/>
    <n v="400"/>
    <n v="17"/>
    <n v="114"/>
    <n v="38"/>
    <n v="2"/>
    <n v="9"/>
    <n v="103"/>
    <n v="21"/>
    <n v="20"/>
    <n v="0"/>
    <n v="60"/>
    <n v="6"/>
  </r>
  <r>
    <x v="8"/>
    <s v="McFlurry with Reese's Peanut Butter Cups (Snack)"/>
    <s v="7.1 oz (202 g)"/>
    <x v="8"/>
    <n v="150"/>
    <n v="16"/>
    <n v="25"/>
    <n v="8"/>
    <n v="38"/>
    <n v="0"/>
    <n v="30"/>
    <n v="10"/>
    <n v="200"/>
    <n v="8"/>
    <n v="57"/>
    <n v="19"/>
    <n v="1"/>
    <n v="5"/>
    <n v="51"/>
    <n v="10"/>
    <n v="10"/>
    <n v="0"/>
    <n v="3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C4266-D1C7-446B-B586-255B687DFB4E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3" firstHeaderRow="1" firstDataRow="1" firstDataCol="1"/>
  <pivotFields count="24">
    <pivotField axis="axisRow" showAll="0">
      <items count="10">
        <item x="1"/>
        <item x="6"/>
        <item x="0"/>
        <item x="2"/>
        <item x="7"/>
        <item x="5"/>
        <item x="3"/>
        <item x="8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Protein" fld="19" subtotal="average" baseField="0" baseItem="0"/>
  </dataFields>
  <formats count="2">
    <format dxfId="5">
      <pivotArea field="0" type="button" dataOnly="0" labelOnly="1" outline="0" axis="axisRow" fieldPosition="0"/>
    </format>
    <format dxfId="4">
      <pivotArea dataOnly="0" labelOnly="1" outline="0" axis="axisValues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43987-71C8-4C07-B503-4C850613CF1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3" firstHeaderRow="1" firstDataRow="1" firstDataCol="1"/>
  <pivotFields count="24">
    <pivotField axis="axisRow" showAll="0">
      <items count="10">
        <item x="1"/>
        <item x="6"/>
        <item x="0"/>
        <item x="2"/>
        <item x="7"/>
        <item x="5"/>
        <item x="3"/>
        <item x="8"/>
        <item x="4"/>
        <item t="default"/>
      </items>
    </pivotField>
    <pivotField showAll="0"/>
    <pivotField showAll="0"/>
    <pivotField dataField="1" showAll="0">
      <items count="79">
        <item x="59"/>
        <item x="54"/>
        <item x="53"/>
        <item x="56"/>
        <item x="62"/>
        <item x="58"/>
        <item x="52"/>
        <item x="68"/>
        <item x="61"/>
        <item x="47"/>
        <item x="28"/>
        <item x="55"/>
        <item x="64"/>
        <item x="63"/>
        <item x="42"/>
        <item x="57"/>
        <item x="65"/>
        <item x="48"/>
        <item x="51"/>
        <item x="35"/>
        <item x="1"/>
        <item x="30"/>
        <item x="60"/>
        <item x="43"/>
        <item x="29"/>
        <item x="0"/>
        <item x="66"/>
        <item x="67"/>
        <item x="50"/>
        <item x="49"/>
        <item x="27"/>
        <item x="40"/>
        <item x="2"/>
        <item x="37"/>
        <item x="46"/>
        <item x="4"/>
        <item x="8"/>
        <item x="14"/>
        <item x="5"/>
        <item x="38"/>
        <item x="3"/>
        <item x="6"/>
        <item x="9"/>
        <item x="10"/>
        <item x="16"/>
        <item x="11"/>
        <item x="7"/>
        <item x="31"/>
        <item x="13"/>
        <item x="15"/>
        <item x="73"/>
        <item x="12"/>
        <item x="39"/>
        <item x="32"/>
        <item x="33"/>
        <item x="17"/>
        <item x="41"/>
        <item x="21"/>
        <item x="75"/>
        <item x="70"/>
        <item x="18"/>
        <item x="22"/>
        <item x="74"/>
        <item x="36"/>
        <item x="19"/>
        <item x="34"/>
        <item x="69"/>
        <item x="20"/>
        <item x="77"/>
        <item x="71"/>
        <item x="72"/>
        <item x="76"/>
        <item x="44"/>
        <item x="25"/>
        <item x="26"/>
        <item x="23"/>
        <item x="24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Calories" fld="3" subtotal="average" baseField="0" baseItem="2"/>
  </dataFields>
  <formats count="2">
    <format dxfId="3">
      <pivotArea field="0" type="button" dataOnly="0" labelOnly="1" outline="0" axis="axisRow" fieldPosition="0"/>
    </format>
    <format dxfId="2">
      <pivotArea dataOnly="0" labelOnly="1" outline="0" axis="axisValues" fieldPosition="0"/>
    </format>
  </format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7A500-BDB3-48B4-A4C8-20BBD8B08E79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3" firstHeaderRow="1" firstDataRow="1" firstDataCol="1"/>
  <pivotFields count="24">
    <pivotField axis="axisRow" showAll="0">
      <items count="10">
        <item x="1"/>
        <item x="6"/>
        <item x="0"/>
        <item x="2"/>
        <item x="7"/>
        <item x="5"/>
        <item x="3"/>
        <item x="8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Total Fat" fld="5" subtotal="average" baseField="0" baseItem="0"/>
  </dataFields>
  <formats count="2">
    <format dxfId="1">
      <pivotArea field="0" type="button" dataOnly="0" labelOnly="1" outline="0" axis="axisRow" fieldPosition="0"/>
    </format>
    <format dxfId="0">
      <pivotArea dataOnly="0" labelOnly="1" outline="0" axis="axisValues" fieldPosition="0"/>
    </format>
  </format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F06C35-7380-4ECD-AE70-60FCB3DDF5B3}" name="Table1" displayName="Table1" ref="A3:D8" totalsRowShown="0">
  <autoFilter ref="A3:D8" xr:uid="{31F06C35-7380-4ECD-AE70-60FCB3DDF5B3}"/>
  <tableColumns count="4">
    <tableColumn id="1" xr3:uid="{EF4A6BD0-8116-4BDE-9722-AACEE51AC912}" name="STATISTICS"/>
    <tableColumn id="2" xr3:uid="{6E7B1350-D173-4F16-871E-C517B2025679}" name="PROTEIN"/>
    <tableColumn id="3" xr3:uid="{A735AC07-C993-4257-A444-01D95BA2FFE3}" name="CALORIES"/>
    <tableColumn id="4" xr3:uid="{A598E92C-6A3B-45D8-B4EA-C95A2F170725}" name="TOTAL FAT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A9EEC-36D8-4399-B1A9-DEF639FEA9FA}">
  <dimension ref="A1:X261"/>
  <sheetViews>
    <sheetView tabSelected="1" workbookViewId="0">
      <selection activeCell="B1" sqref="B1"/>
    </sheetView>
  </sheetViews>
  <sheetFormatPr defaultRowHeight="14.4" x14ac:dyDescent="0.3"/>
  <cols>
    <col min="1" max="1" width="12.77734375" customWidth="1"/>
    <col min="2" max="2" width="51.33203125" customWidth="1"/>
    <col min="3" max="3" width="16.21875" customWidth="1"/>
    <col min="4" max="4" width="14.88671875" customWidth="1"/>
    <col min="5" max="5" width="21.77734375" customWidth="1"/>
    <col min="6" max="6" width="12.77734375" customWidth="1"/>
    <col min="7" max="7" width="29.44140625" customWidth="1"/>
    <col min="8" max="8" width="17" customWidth="1"/>
    <col min="9" max="9" width="32.88671875" customWidth="1"/>
    <col min="10" max="10" width="11.21875" customWidth="1"/>
    <col min="11" max="11" width="15.21875" customWidth="1"/>
    <col min="12" max="12" width="31.6640625" customWidth="1"/>
    <col min="13" max="13" width="11.5546875" customWidth="1"/>
    <col min="14" max="14" width="27.21875" customWidth="1"/>
    <col min="15" max="15" width="19.33203125" customWidth="1"/>
    <col min="16" max="16" width="35" customWidth="1"/>
    <col min="17" max="17" width="17.77734375" customWidth="1"/>
    <col min="18" max="18" width="33.5546875" customWidth="1"/>
    <col min="19" max="19" width="10" customWidth="1"/>
    <col min="20" max="20" width="11.109375" customWidth="1"/>
    <col min="21" max="21" width="31.109375" customWidth="1"/>
    <col min="22" max="22" width="30" customWidth="1"/>
    <col min="23" max="23" width="27.88671875" customWidth="1"/>
    <col min="24" max="24" width="23.44140625" customWidth="1"/>
  </cols>
  <sheetData>
    <row r="1" spans="1:24" ht="18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x14ac:dyDescent="0.3">
      <c r="A2" t="s">
        <v>24</v>
      </c>
      <c r="B2" t="s">
        <v>25</v>
      </c>
      <c r="C2" t="s">
        <v>26</v>
      </c>
      <c r="D2">
        <v>300</v>
      </c>
      <c r="E2">
        <v>120</v>
      </c>
      <c r="F2">
        <v>13</v>
      </c>
      <c r="G2">
        <v>20</v>
      </c>
      <c r="H2">
        <v>5</v>
      </c>
      <c r="I2">
        <v>25</v>
      </c>
      <c r="J2">
        <v>0</v>
      </c>
      <c r="K2">
        <v>260</v>
      </c>
      <c r="L2">
        <v>87</v>
      </c>
      <c r="M2">
        <v>750</v>
      </c>
      <c r="N2">
        <v>31</v>
      </c>
      <c r="O2">
        <v>31</v>
      </c>
      <c r="P2">
        <v>10</v>
      </c>
      <c r="Q2">
        <v>4</v>
      </c>
      <c r="R2">
        <v>17</v>
      </c>
      <c r="S2">
        <v>3</v>
      </c>
      <c r="T2">
        <v>17</v>
      </c>
      <c r="U2">
        <v>10</v>
      </c>
      <c r="V2">
        <v>0</v>
      </c>
      <c r="W2">
        <v>25</v>
      </c>
      <c r="X2">
        <v>15</v>
      </c>
    </row>
    <row r="3" spans="1:24" x14ac:dyDescent="0.3">
      <c r="A3" t="s">
        <v>24</v>
      </c>
      <c r="B3" t="s">
        <v>27</v>
      </c>
      <c r="C3" t="s">
        <v>28</v>
      </c>
      <c r="D3">
        <v>250</v>
      </c>
      <c r="E3">
        <v>70</v>
      </c>
      <c r="F3">
        <v>8</v>
      </c>
      <c r="G3">
        <v>12</v>
      </c>
      <c r="H3">
        <v>3</v>
      </c>
      <c r="I3">
        <v>15</v>
      </c>
      <c r="J3">
        <v>0</v>
      </c>
      <c r="K3">
        <v>25</v>
      </c>
      <c r="L3">
        <v>8</v>
      </c>
      <c r="M3">
        <v>770</v>
      </c>
      <c r="N3">
        <v>32</v>
      </c>
      <c r="O3">
        <v>30</v>
      </c>
      <c r="P3">
        <v>10</v>
      </c>
      <c r="Q3">
        <v>4</v>
      </c>
      <c r="R3">
        <v>17</v>
      </c>
      <c r="S3">
        <v>3</v>
      </c>
      <c r="T3">
        <v>18</v>
      </c>
      <c r="U3">
        <v>6</v>
      </c>
      <c r="V3">
        <v>0</v>
      </c>
      <c r="W3">
        <v>25</v>
      </c>
      <c r="X3">
        <v>8</v>
      </c>
    </row>
    <row r="4" spans="1:24" x14ac:dyDescent="0.3">
      <c r="A4" t="s">
        <v>24</v>
      </c>
      <c r="B4" t="s">
        <v>29</v>
      </c>
      <c r="C4" t="s">
        <v>30</v>
      </c>
      <c r="D4">
        <v>370</v>
      </c>
      <c r="E4">
        <v>200</v>
      </c>
      <c r="F4">
        <v>23</v>
      </c>
      <c r="G4">
        <v>35</v>
      </c>
      <c r="H4">
        <v>8</v>
      </c>
      <c r="I4">
        <v>42</v>
      </c>
      <c r="J4">
        <v>0</v>
      </c>
      <c r="K4">
        <v>45</v>
      </c>
      <c r="L4">
        <v>15</v>
      </c>
      <c r="M4">
        <v>780</v>
      </c>
      <c r="N4">
        <v>33</v>
      </c>
      <c r="O4">
        <v>29</v>
      </c>
      <c r="P4">
        <v>10</v>
      </c>
      <c r="Q4">
        <v>4</v>
      </c>
      <c r="R4">
        <v>17</v>
      </c>
      <c r="S4">
        <v>2</v>
      </c>
      <c r="T4">
        <v>14</v>
      </c>
      <c r="U4">
        <v>8</v>
      </c>
      <c r="V4">
        <v>0</v>
      </c>
      <c r="W4">
        <v>25</v>
      </c>
      <c r="X4">
        <v>10</v>
      </c>
    </row>
    <row r="5" spans="1:24" x14ac:dyDescent="0.3">
      <c r="A5" t="s">
        <v>24</v>
      </c>
      <c r="B5" t="s">
        <v>31</v>
      </c>
      <c r="C5" t="s">
        <v>32</v>
      </c>
      <c r="D5">
        <v>450</v>
      </c>
      <c r="E5">
        <v>250</v>
      </c>
      <c r="F5">
        <v>28</v>
      </c>
      <c r="G5">
        <v>43</v>
      </c>
      <c r="H5">
        <v>10</v>
      </c>
      <c r="I5">
        <v>52</v>
      </c>
      <c r="J5">
        <v>0</v>
      </c>
      <c r="K5">
        <v>285</v>
      </c>
      <c r="L5">
        <v>95</v>
      </c>
      <c r="M5">
        <v>860</v>
      </c>
      <c r="N5">
        <v>36</v>
      </c>
      <c r="O5">
        <v>30</v>
      </c>
      <c r="P5">
        <v>10</v>
      </c>
      <c r="Q5">
        <v>4</v>
      </c>
      <c r="R5">
        <v>17</v>
      </c>
      <c r="S5">
        <v>2</v>
      </c>
      <c r="T5">
        <v>21</v>
      </c>
      <c r="U5">
        <v>15</v>
      </c>
      <c r="V5">
        <v>0</v>
      </c>
      <c r="W5">
        <v>30</v>
      </c>
      <c r="X5">
        <v>15</v>
      </c>
    </row>
    <row r="6" spans="1:24" x14ac:dyDescent="0.3">
      <c r="A6" t="s">
        <v>24</v>
      </c>
      <c r="B6" t="s">
        <v>33</v>
      </c>
      <c r="C6" t="s">
        <v>32</v>
      </c>
      <c r="D6">
        <v>400</v>
      </c>
      <c r="E6">
        <v>210</v>
      </c>
      <c r="F6">
        <v>23</v>
      </c>
      <c r="G6">
        <v>35</v>
      </c>
      <c r="H6">
        <v>8</v>
      </c>
      <c r="I6">
        <v>42</v>
      </c>
      <c r="J6">
        <v>0</v>
      </c>
      <c r="K6">
        <v>50</v>
      </c>
      <c r="L6">
        <v>16</v>
      </c>
      <c r="M6">
        <v>880</v>
      </c>
      <c r="N6">
        <v>37</v>
      </c>
      <c r="O6">
        <v>30</v>
      </c>
      <c r="P6">
        <v>10</v>
      </c>
      <c r="Q6">
        <v>4</v>
      </c>
      <c r="R6">
        <v>17</v>
      </c>
      <c r="S6">
        <v>2</v>
      </c>
      <c r="T6">
        <v>21</v>
      </c>
      <c r="U6">
        <v>6</v>
      </c>
      <c r="V6">
        <v>0</v>
      </c>
      <c r="W6">
        <v>25</v>
      </c>
      <c r="X6">
        <v>10</v>
      </c>
    </row>
    <row r="7" spans="1:24" x14ac:dyDescent="0.3">
      <c r="A7" t="s">
        <v>24</v>
      </c>
      <c r="B7" t="s">
        <v>34</v>
      </c>
      <c r="C7" t="s">
        <v>35</v>
      </c>
      <c r="D7">
        <v>430</v>
      </c>
      <c r="E7">
        <v>210</v>
      </c>
      <c r="F7">
        <v>23</v>
      </c>
      <c r="G7">
        <v>36</v>
      </c>
      <c r="H7">
        <v>9</v>
      </c>
      <c r="I7">
        <v>46</v>
      </c>
      <c r="J7">
        <v>1</v>
      </c>
      <c r="K7">
        <v>300</v>
      </c>
      <c r="L7">
        <v>100</v>
      </c>
      <c r="M7">
        <v>960</v>
      </c>
      <c r="N7">
        <v>40</v>
      </c>
      <c r="O7">
        <v>31</v>
      </c>
      <c r="P7">
        <v>10</v>
      </c>
      <c r="Q7">
        <v>4</v>
      </c>
      <c r="R7">
        <v>18</v>
      </c>
      <c r="S7">
        <v>3</v>
      </c>
      <c r="T7">
        <v>26</v>
      </c>
      <c r="U7">
        <v>15</v>
      </c>
      <c r="V7">
        <v>2</v>
      </c>
      <c r="W7">
        <v>30</v>
      </c>
      <c r="X7">
        <v>20</v>
      </c>
    </row>
    <row r="8" spans="1:24" x14ac:dyDescent="0.3">
      <c r="A8" t="s">
        <v>24</v>
      </c>
      <c r="B8" t="s">
        <v>36</v>
      </c>
      <c r="C8" t="s">
        <v>37</v>
      </c>
      <c r="D8">
        <v>460</v>
      </c>
      <c r="E8">
        <v>230</v>
      </c>
      <c r="F8">
        <v>26</v>
      </c>
      <c r="G8">
        <v>40</v>
      </c>
      <c r="H8">
        <v>13</v>
      </c>
      <c r="I8">
        <v>65</v>
      </c>
      <c r="J8">
        <v>0</v>
      </c>
      <c r="K8">
        <v>250</v>
      </c>
      <c r="L8">
        <v>83</v>
      </c>
      <c r="M8">
        <v>1300</v>
      </c>
      <c r="N8">
        <v>54</v>
      </c>
      <c r="O8">
        <v>38</v>
      </c>
      <c r="P8">
        <v>13</v>
      </c>
      <c r="Q8">
        <v>2</v>
      </c>
      <c r="R8">
        <v>7</v>
      </c>
      <c r="S8">
        <v>3</v>
      </c>
      <c r="T8">
        <v>19</v>
      </c>
      <c r="U8">
        <v>10</v>
      </c>
      <c r="V8">
        <v>8</v>
      </c>
      <c r="W8">
        <v>15</v>
      </c>
      <c r="X8">
        <v>15</v>
      </c>
    </row>
    <row r="9" spans="1:24" x14ac:dyDescent="0.3">
      <c r="A9" t="s">
        <v>24</v>
      </c>
      <c r="B9" t="s">
        <v>38</v>
      </c>
      <c r="C9" t="s">
        <v>39</v>
      </c>
      <c r="D9">
        <v>520</v>
      </c>
      <c r="E9">
        <v>270</v>
      </c>
      <c r="F9">
        <v>30</v>
      </c>
      <c r="G9">
        <v>47</v>
      </c>
      <c r="H9">
        <v>14</v>
      </c>
      <c r="I9">
        <v>68</v>
      </c>
      <c r="J9">
        <v>0</v>
      </c>
      <c r="K9">
        <v>250</v>
      </c>
      <c r="L9">
        <v>83</v>
      </c>
      <c r="M9">
        <v>1410</v>
      </c>
      <c r="N9">
        <v>59</v>
      </c>
      <c r="O9">
        <v>43</v>
      </c>
      <c r="P9">
        <v>14</v>
      </c>
      <c r="Q9">
        <v>3</v>
      </c>
      <c r="R9">
        <v>12</v>
      </c>
      <c r="S9">
        <v>4</v>
      </c>
      <c r="T9">
        <v>19</v>
      </c>
      <c r="U9">
        <v>15</v>
      </c>
      <c r="V9">
        <v>8</v>
      </c>
      <c r="W9">
        <v>20</v>
      </c>
      <c r="X9">
        <v>20</v>
      </c>
    </row>
    <row r="10" spans="1:24" x14ac:dyDescent="0.3">
      <c r="A10" t="s">
        <v>24</v>
      </c>
      <c r="B10" t="s">
        <v>40</v>
      </c>
      <c r="C10" t="s">
        <v>41</v>
      </c>
      <c r="D10">
        <v>410</v>
      </c>
      <c r="E10">
        <v>180</v>
      </c>
      <c r="F10">
        <v>20</v>
      </c>
      <c r="G10">
        <v>32</v>
      </c>
      <c r="H10">
        <v>11</v>
      </c>
      <c r="I10">
        <v>56</v>
      </c>
      <c r="J10">
        <v>0</v>
      </c>
      <c r="K10">
        <v>35</v>
      </c>
      <c r="L10">
        <v>11</v>
      </c>
      <c r="M10">
        <v>1300</v>
      </c>
      <c r="N10">
        <v>54</v>
      </c>
      <c r="O10">
        <v>36</v>
      </c>
      <c r="P10">
        <v>12</v>
      </c>
      <c r="Q10">
        <v>2</v>
      </c>
      <c r="R10">
        <v>7</v>
      </c>
      <c r="S10">
        <v>3</v>
      </c>
      <c r="T10">
        <v>20</v>
      </c>
      <c r="U10">
        <v>2</v>
      </c>
      <c r="V10">
        <v>8</v>
      </c>
      <c r="W10">
        <v>15</v>
      </c>
      <c r="X10">
        <v>10</v>
      </c>
    </row>
    <row r="11" spans="1:24" x14ac:dyDescent="0.3">
      <c r="A11" t="s">
        <v>24</v>
      </c>
      <c r="B11" t="s">
        <v>42</v>
      </c>
      <c r="C11" t="s">
        <v>43</v>
      </c>
      <c r="D11">
        <v>470</v>
      </c>
      <c r="E11">
        <v>220</v>
      </c>
      <c r="F11">
        <v>25</v>
      </c>
      <c r="G11">
        <v>38</v>
      </c>
      <c r="H11">
        <v>12</v>
      </c>
      <c r="I11">
        <v>59</v>
      </c>
      <c r="J11">
        <v>0</v>
      </c>
      <c r="K11">
        <v>35</v>
      </c>
      <c r="L11">
        <v>11</v>
      </c>
      <c r="M11">
        <v>1420</v>
      </c>
      <c r="N11">
        <v>59</v>
      </c>
      <c r="O11">
        <v>42</v>
      </c>
      <c r="P11">
        <v>14</v>
      </c>
      <c r="Q11">
        <v>3</v>
      </c>
      <c r="R11">
        <v>12</v>
      </c>
      <c r="S11">
        <v>4</v>
      </c>
      <c r="T11">
        <v>20</v>
      </c>
      <c r="U11">
        <v>6</v>
      </c>
      <c r="V11">
        <v>8</v>
      </c>
      <c r="W11">
        <v>15</v>
      </c>
      <c r="X11">
        <v>15</v>
      </c>
    </row>
    <row r="12" spans="1:24" x14ac:dyDescent="0.3">
      <c r="A12" t="s">
        <v>24</v>
      </c>
      <c r="B12" t="s">
        <v>44</v>
      </c>
      <c r="C12" t="s">
        <v>45</v>
      </c>
      <c r="D12">
        <v>430</v>
      </c>
      <c r="E12">
        <v>240</v>
      </c>
      <c r="F12">
        <v>27</v>
      </c>
      <c r="G12">
        <v>42</v>
      </c>
      <c r="H12">
        <v>12</v>
      </c>
      <c r="I12">
        <v>62</v>
      </c>
      <c r="J12">
        <v>0</v>
      </c>
      <c r="K12">
        <v>30</v>
      </c>
      <c r="L12">
        <v>10</v>
      </c>
      <c r="M12">
        <v>1080</v>
      </c>
      <c r="N12">
        <v>45</v>
      </c>
      <c r="O12">
        <v>34</v>
      </c>
      <c r="P12">
        <v>11</v>
      </c>
      <c r="Q12">
        <v>2</v>
      </c>
      <c r="R12">
        <v>6</v>
      </c>
      <c r="S12">
        <v>2</v>
      </c>
      <c r="T12">
        <v>11</v>
      </c>
      <c r="U12">
        <v>0</v>
      </c>
      <c r="V12">
        <v>0</v>
      </c>
      <c r="W12">
        <v>6</v>
      </c>
      <c r="X12">
        <v>15</v>
      </c>
    </row>
    <row r="13" spans="1:24" x14ac:dyDescent="0.3">
      <c r="A13" t="s">
        <v>24</v>
      </c>
      <c r="B13" t="s">
        <v>46</v>
      </c>
      <c r="C13" t="s">
        <v>47</v>
      </c>
      <c r="D13">
        <v>480</v>
      </c>
      <c r="E13">
        <v>280</v>
      </c>
      <c r="F13">
        <v>31</v>
      </c>
      <c r="G13">
        <v>48</v>
      </c>
      <c r="H13">
        <v>13</v>
      </c>
      <c r="I13">
        <v>65</v>
      </c>
      <c r="J13">
        <v>0</v>
      </c>
      <c r="K13">
        <v>30</v>
      </c>
      <c r="L13">
        <v>10</v>
      </c>
      <c r="M13">
        <v>1190</v>
      </c>
      <c r="N13">
        <v>50</v>
      </c>
      <c r="O13">
        <v>39</v>
      </c>
      <c r="P13">
        <v>13</v>
      </c>
      <c r="Q13">
        <v>3</v>
      </c>
      <c r="R13">
        <v>11</v>
      </c>
      <c r="S13">
        <v>3</v>
      </c>
      <c r="T13">
        <v>11</v>
      </c>
      <c r="U13">
        <v>4</v>
      </c>
      <c r="V13">
        <v>0</v>
      </c>
      <c r="W13">
        <v>8</v>
      </c>
      <c r="X13">
        <v>15</v>
      </c>
    </row>
    <row r="14" spans="1:24" x14ac:dyDescent="0.3">
      <c r="A14" t="s">
        <v>24</v>
      </c>
      <c r="B14" t="s">
        <v>48</v>
      </c>
      <c r="C14" t="s">
        <v>49</v>
      </c>
      <c r="D14">
        <v>510</v>
      </c>
      <c r="E14">
        <v>290</v>
      </c>
      <c r="F14">
        <v>33</v>
      </c>
      <c r="G14">
        <v>50</v>
      </c>
      <c r="H14">
        <v>14</v>
      </c>
      <c r="I14">
        <v>71</v>
      </c>
      <c r="J14">
        <v>0</v>
      </c>
      <c r="K14">
        <v>250</v>
      </c>
      <c r="L14">
        <v>83</v>
      </c>
      <c r="M14">
        <v>1170</v>
      </c>
      <c r="N14">
        <v>49</v>
      </c>
      <c r="O14">
        <v>36</v>
      </c>
      <c r="P14">
        <v>12</v>
      </c>
      <c r="Q14">
        <v>2</v>
      </c>
      <c r="R14">
        <v>6</v>
      </c>
      <c r="S14">
        <v>2</v>
      </c>
      <c r="T14">
        <v>18</v>
      </c>
      <c r="U14">
        <v>6</v>
      </c>
      <c r="V14">
        <v>0</v>
      </c>
      <c r="W14">
        <v>10</v>
      </c>
      <c r="X14">
        <v>20</v>
      </c>
    </row>
    <row r="15" spans="1:24" x14ac:dyDescent="0.3">
      <c r="A15" t="s">
        <v>24</v>
      </c>
      <c r="B15" t="s">
        <v>50</v>
      </c>
      <c r="C15" t="s">
        <v>51</v>
      </c>
      <c r="D15">
        <v>570</v>
      </c>
      <c r="E15">
        <v>330</v>
      </c>
      <c r="F15">
        <v>37</v>
      </c>
      <c r="G15">
        <v>57</v>
      </c>
      <c r="H15">
        <v>15</v>
      </c>
      <c r="I15">
        <v>74</v>
      </c>
      <c r="J15">
        <v>0</v>
      </c>
      <c r="K15">
        <v>250</v>
      </c>
      <c r="L15">
        <v>83</v>
      </c>
      <c r="M15">
        <v>1280</v>
      </c>
      <c r="N15">
        <v>53</v>
      </c>
      <c r="O15">
        <v>42</v>
      </c>
      <c r="P15">
        <v>14</v>
      </c>
      <c r="Q15">
        <v>3</v>
      </c>
      <c r="R15">
        <v>11</v>
      </c>
      <c r="S15">
        <v>3</v>
      </c>
      <c r="T15">
        <v>18</v>
      </c>
      <c r="U15">
        <v>10</v>
      </c>
      <c r="V15">
        <v>0</v>
      </c>
      <c r="W15">
        <v>10</v>
      </c>
      <c r="X15">
        <v>20</v>
      </c>
    </row>
    <row r="16" spans="1:24" x14ac:dyDescent="0.3">
      <c r="A16" t="s">
        <v>24</v>
      </c>
      <c r="B16" t="s">
        <v>52</v>
      </c>
      <c r="C16" t="s">
        <v>43</v>
      </c>
      <c r="D16">
        <v>460</v>
      </c>
      <c r="E16">
        <v>250</v>
      </c>
      <c r="F16">
        <v>27</v>
      </c>
      <c r="G16">
        <v>42</v>
      </c>
      <c r="H16">
        <v>12</v>
      </c>
      <c r="I16">
        <v>62</v>
      </c>
      <c r="J16">
        <v>0</v>
      </c>
      <c r="K16">
        <v>35</v>
      </c>
      <c r="L16">
        <v>11</v>
      </c>
      <c r="M16">
        <v>1180</v>
      </c>
      <c r="N16">
        <v>49</v>
      </c>
      <c r="O16">
        <v>34</v>
      </c>
      <c r="P16">
        <v>11</v>
      </c>
      <c r="Q16">
        <v>2</v>
      </c>
      <c r="R16">
        <v>6</v>
      </c>
      <c r="S16">
        <v>3</v>
      </c>
      <c r="T16">
        <v>18</v>
      </c>
      <c r="U16">
        <v>0</v>
      </c>
      <c r="V16">
        <v>0</v>
      </c>
      <c r="W16">
        <v>8</v>
      </c>
      <c r="X16">
        <v>15</v>
      </c>
    </row>
    <row r="17" spans="1:24" x14ac:dyDescent="0.3">
      <c r="A17" t="s">
        <v>24</v>
      </c>
      <c r="B17" t="s">
        <v>53</v>
      </c>
      <c r="C17" t="s">
        <v>54</v>
      </c>
      <c r="D17">
        <v>520</v>
      </c>
      <c r="E17">
        <v>280</v>
      </c>
      <c r="F17">
        <v>32</v>
      </c>
      <c r="G17">
        <v>49</v>
      </c>
      <c r="H17">
        <v>13</v>
      </c>
      <c r="I17">
        <v>65</v>
      </c>
      <c r="J17">
        <v>0</v>
      </c>
      <c r="K17">
        <v>35</v>
      </c>
      <c r="L17">
        <v>11</v>
      </c>
      <c r="M17">
        <v>1290</v>
      </c>
      <c r="N17">
        <v>54</v>
      </c>
      <c r="O17">
        <v>40</v>
      </c>
      <c r="P17">
        <v>13</v>
      </c>
      <c r="Q17">
        <v>3</v>
      </c>
      <c r="R17">
        <v>11</v>
      </c>
      <c r="S17">
        <v>3</v>
      </c>
      <c r="T17">
        <v>18</v>
      </c>
      <c r="U17">
        <v>4</v>
      </c>
      <c r="V17">
        <v>0</v>
      </c>
      <c r="W17">
        <v>8</v>
      </c>
      <c r="X17">
        <v>15</v>
      </c>
    </row>
    <row r="18" spans="1:24" x14ac:dyDescent="0.3">
      <c r="A18" t="s">
        <v>24</v>
      </c>
      <c r="B18" t="s">
        <v>55</v>
      </c>
      <c r="C18" t="s">
        <v>56</v>
      </c>
      <c r="D18">
        <v>410</v>
      </c>
      <c r="E18">
        <v>180</v>
      </c>
      <c r="F18">
        <v>20</v>
      </c>
      <c r="G18">
        <v>31</v>
      </c>
      <c r="H18">
        <v>8</v>
      </c>
      <c r="I18">
        <v>41</v>
      </c>
      <c r="J18">
        <v>0</v>
      </c>
      <c r="K18">
        <v>30</v>
      </c>
      <c r="L18">
        <v>10</v>
      </c>
      <c r="M18">
        <v>1180</v>
      </c>
      <c r="N18">
        <v>49</v>
      </c>
      <c r="O18">
        <v>41</v>
      </c>
      <c r="P18">
        <v>14</v>
      </c>
      <c r="Q18">
        <v>2</v>
      </c>
      <c r="R18">
        <v>6</v>
      </c>
      <c r="S18">
        <v>3</v>
      </c>
      <c r="T18">
        <v>17</v>
      </c>
      <c r="U18">
        <v>0</v>
      </c>
      <c r="V18">
        <v>2</v>
      </c>
      <c r="W18">
        <v>6</v>
      </c>
      <c r="X18">
        <v>15</v>
      </c>
    </row>
    <row r="19" spans="1:24" x14ac:dyDescent="0.3">
      <c r="A19" t="s">
        <v>24</v>
      </c>
      <c r="B19" t="s">
        <v>57</v>
      </c>
      <c r="C19" t="s">
        <v>58</v>
      </c>
      <c r="D19">
        <v>470</v>
      </c>
      <c r="E19">
        <v>220</v>
      </c>
      <c r="F19">
        <v>24</v>
      </c>
      <c r="G19">
        <v>37</v>
      </c>
      <c r="H19">
        <v>9</v>
      </c>
      <c r="I19">
        <v>45</v>
      </c>
      <c r="J19">
        <v>0</v>
      </c>
      <c r="K19">
        <v>30</v>
      </c>
      <c r="L19">
        <v>10</v>
      </c>
      <c r="M19">
        <v>1290</v>
      </c>
      <c r="N19">
        <v>54</v>
      </c>
      <c r="O19">
        <v>46</v>
      </c>
      <c r="P19">
        <v>15</v>
      </c>
      <c r="Q19">
        <v>3</v>
      </c>
      <c r="R19">
        <v>11</v>
      </c>
      <c r="S19">
        <v>4</v>
      </c>
      <c r="T19">
        <v>17</v>
      </c>
      <c r="U19">
        <v>4</v>
      </c>
      <c r="V19">
        <v>2</v>
      </c>
      <c r="W19">
        <v>8</v>
      </c>
      <c r="X19">
        <v>15</v>
      </c>
    </row>
    <row r="20" spans="1:24" x14ac:dyDescent="0.3">
      <c r="A20" t="s">
        <v>24</v>
      </c>
      <c r="B20" t="s">
        <v>59</v>
      </c>
      <c r="C20" t="s">
        <v>60</v>
      </c>
      <c r="D20">
        <v>540</v>
      </c>
      <c r="E20">
        <v>290</v>
      </c>
      <c r="F20">
        <v>32</v>
      </c>
      <c r="G20">
        <v>49</v>
      </c>
      <c r="H20">
        <v>16</v>
      </c>
      <c r="I20">
        <v>78</v>
      </c>
      <c r="J20">
        <v>1</v>
      </c>
      <c r="K20">
        <v>280</v>
      </c>
      <c r="L20">
        <v>93</v>
      </c>
      <c r="M20">
        <v>1470</v>
      </c>
      <c r="N20">
        <v>61</v>
      </c>
      <c r="O20">
        <v>38</v>
      </c>
      <c r="P20">
        <v>13</v>
      </c>
      <c r="Q20">
        <v>2</v>
      </c>
      <c r="R20">
        <v>8</v>
      </c>
      <c r="S20">
        <v>3</v>
      </c>
      <c r="T20">
        <v>25</v>
      </c>
      <c r="U20">
        <v>10</v>
      </c>
      <c r="V20">
        <v>2</v>
      </c>
      <c r="W20">
        <v>20</v>
      </c>
      <c r="X20">
        <v>25</v>
      </c>
    </row>
    <row r="21" spans="1:24" x14ac:dyDescent="0.3">
      <c r="A21" t="s">
        <v>24</v>
      </c>
      <c r="B21" t="s">
        <v>61</v>
      </c>
      <c r="C21" t="s">
        <v>62</v>
      </c>
      <c r="D21">
        <v>460</v>
      </c>
      <c r="E21">
        <v>190</v>
      </c>
      <c r="F21">
        <v>21</v>
      </c>
      <c r="G21">
        <v>32</v>
      </c>
      <c r="H21">
        <v>9</v>
      </c>
      <c r="I21">
        <v>44</v>
      </c>
      <c r="J21">
        <v>0</v>
      </c>
      <c r="K21">
        <v>250</v>
      </c>
      <c r="L21">
        <v>84</v>
      </c>
      <c r="M21">
        <v>1250</v>
      </c>
      <c r="N21">
        <v>52</v>
      </c>
      <c r="O21">
        <v>48</v>
      </c>
      <c r="P21">
        <v>16</v>
      </c>
      <c r="Q21">
        <v>2</v>
      </c>
      <c r="R21">
        <v>9</v>
      </c>
      <c r="S21">
        <v>15</v>
      </c>
      <c r="T21">
        <v>19</v>
      </c>
      <c r="U21">
        <v>10</v>
      </c>
      <c r="V21">
        <v>10</v>
      </c>
      <c r="W21">
        <v>20</v>
      </c>
      <c r="X21">
        <v>15</v>
      </c>
    </row>
    <row r="22" spans="1:24" x14ac:dyDescent="0.3">
      <c r="A22" t="s">
        <v>24</v>
      </c>
      <c r="B22" t="s">
        <v>63</v>
      </c>
      <c r="C22" t="s">
        <v>64</v>
      </c>
      <c r="D22">
        <v>400</v>
      </c>
      <c r="E22">
        <v>140</v>
      </c>
      <c r="F22">
        <v>15</v>
      </c>
      <c r="G22">
        <v>24</v>
      </c>
      <c r="H22">
        <v>7</v>
      </c>
      <c r="I22">
        <v>34</v>
      </c>
      <c r="J22">
        <v>0</v>
      </c>
      <c r="K22">
        <v>35</v>
      </c>
      <c r="L22">
        <v>11</v>
      </c>
      <c r="M22">
        <v>1250</v>
      </c>
      <c r="N22">
        <v>52</v>
      </c>
      <c r="O22">
        <v>47</v>
      </c>
      <c r="P22">
        <v>16</v>
      </c>
      <c r="Q22">
        <v>2</v>
      </c>
      <c r="R22">
        <v>9</v>
      </c>
      <c r="S22">
        <v>16</v>
      </c>
      <c r="T22">
        <v>20</v>
      </c>
      <c r="U22">
        <v>2</v>
      </c>
      <c r="V22">
        <v>10</v>
      </c>
      <c r="W22">
        <v>15</v>
      </c>
      <c r="X22">
        <v>10</v>
      </c>
    </row>
    <row r="23" spans="1:24" x14ac:dyDescent="0.3">
      <c r="A23" t="s">
        <v>24</v>
      </c>
      <c r="B23" t="s">
        <v>65</v>
      </c>
      <c r="C23" t="s">
        <v>66</v>
      </c>
      <c r="D23">
        <v>420</v>
      </c>
      <c r="E23">
        <v>200</v>
      </c>
      <c r="F23">
        <v>22</v>
      </c>
      <c r="G23">
        <v>34</v>
      </c>
      <c r="H23">
        <v>8</v>
      </c>
      <c r="I23">
        <v>40</v>
      </c>
      <c r="J23">
        <v>0</v>
      </c>
      <c r="K23">
        <v>35</v>
      </c>
      <c r="L23">
        <v>11</v>
      </c>
      <c r="M23">
        <v>1030</v>
      </c>
      <c r="N23">
        <v>43</v>
      </c>
      <c r="O23">
        <v>44</v>
      </c>
      <c r="P23">
        <v>15</v>
      </c>
      <c r="Q23">
        <v>2</v>
      </c>
      <c r="R23">
        <v>8</v>
      </c>
      <c r="S23">
        <v>15</v>
      </c>
      <c r="T23">
        <v>11</v>
      </c>
      <c r="U23">
        <v>0</v>
      </c>
      <c r="V23">
        <v>0</v>
      </c>
      <c r="W23">
        <v>8</v>
      </c>
      <c r="X23">
        <v>10</v>
      </c>
    </row>
    <row r="24" spans="1:24" x14ac:dyDescent="0.3">
      <c r="A24" t="s">
        <v>24</v>
      </c>
      <c r="B24" t="s">
        <v>67</v>
      </c>
      <c r="C24" t="s">
        <v>60</v>
      </c>
      <c r="D24">
        <v>550</v>
      </c>
      <c r="E24">
        <v>280</v>
      </c>
      <c r="F24">
        <v>31</v>
      </c>
      <c r="G24">
        <v>48</v>
      </c>
      <c r="H24">
        <v>12</v>
      </c>
      <c r="I24">
        <v>61</v>
      </c>
      <c r="J24">
        <v>0</v>
      </c>
      <c r="K24">
        <v>265</v>
      </c>
      <c r="L24">
        <v>89</v>
      </c>
      <c r="M24">
        <v>1320</v>
      </c>
      <c r="N24">
        <v>55</v>
      </c>
      <c r="O24">
        <v>48</v>
      </c>
      <c r="P24">
        <v>16</v>
      </c>
      <c r="Q24">
        <v>2</v>
      </c>
      <c r="R24">
        <v>9</v>
      </c>
      <c r="S24">
        <v>15</v>
      </c>
      <c r="T24">
        <v>20</v>
      </c>
      <c r="U24">
        <v>10</v>
      </c>
      <c r="V24">
        <v>0</v>
      </c>
      <c r="W24">
        <v>20</v>
      </c>
      <c r="X24">
        <v>15</v>
      </c>
    </row>
    <row r="25" spans="1:24" x14ac:dyDescent="0.3">
      <c r="A25" t="s">
        <v>24</v>
      </c>
      <c r="B25" t="s">
        <v>68</v>
      </c>
      <c r="C25" t="s">
        <v>69</v>
      </c>
      <c r="D25">
        <v>500</v>
      </c>
      <c r="E25">
        <v>230</v>
      </c>
      <c r="F25">
        <v>26</v>
      </c>
      <c r="G25">
        <v>40</v>
      </c>
      <c r="H25">
        <v>10</v>
      </c>
      <c r="I25">
        <v>52</v>
      </c>
      <c r="J25">
        <v>0</v>
      </c>
      <c r="K25">
        <v>50</v>
      </c>
      <c r="L25">
        <v>17</v>
      </c>
      <c r="M25">
        <v>1320</v>
      </c>
      <c r="N25">
        <v>55</v>
      </c>
      <c r="O25">
        <v>46</v>
      </c>
      <c r="P25">
        <v>15</v>
      </c>
      <c r="Q25">
        <v>2</v>
      </c>
      <c r="R25">
        <v>9</v>
      </c>
      <c r="S25">
        <v>15</v>
      </c>
      <c r="T25">
        <v>21</v>
      </c>
      <c r="U25">
        <v>2</v>
      </c>
      <c r="V25">
        <v>0</v>
      </c>
      <c r="W25">
        <v>20</v>
      </c>
      <c r="X25">
        <v>10</v>
      </c>
    </row>
    <row r="26" spans="1:24" x14ac:dyDescent="0.3">
      <c r="A26" t="s">
        <v>24</v>
      </c>
      <c r="B26" t="s">
        <v>70</v>
      </c>
      <c r="C26" t="s">
        <v>71</v>
      </c>
      <c r="D26">
        <v>620</v>
      </c>
      <c r="E26">
        <v>280</v>
      </c>
      <c r="F26">
        <v>31</v>
      </c>
      <c r="G26">
        <v>48</v>
      </c>
      <c r="H26">
        <v>11</v>
      </c>
      <c r="I26">
        <v>56</v>
      </c>
      <c r="J26">
        <v>0.5</v>
      </c>
      <c r="K26">
        <v>275</v>
      </c>
      <c r="L26">
        <v>92</v>
      </c>
      <c r="M26">
        <v>1480</v>
      </c>
      <c r="N26">
        <v>62</v>
      </c>
      <c r="O26">
        <v>57</v>
      </c>
      <c r="P26">
        <v>19</v>
      </c>
      <c r="Q26">
        <v>3</v>
      </c>
      <c r="R26">
        <v>11</v>
      </c>
      <c r="S26">
        <v>7</v>
      </c>
      <c r="T26">
        <v>30</v>
      </c>
      <c r="U26">
        <v>20</v>
      </c>
      <c r="V26">
        <v>15</v>
      </c>
      <c r="W26">
        <v>20</v>
      </c>
      <c r="X26">
        <v>20</v>
      </c>
    </row>
    <row r="27" spans="1:24" x14ac:dyDescent="0.3">
      <c r="A27" t="s">
        <v>24</v>
      </c>
      <c r="B27" t="s">
        <v>72</v>
      </c>
      <c r="C27" t="s">
        <v>60</v>
      </c>
      <c r="D27">
        <v>570</v>
      </c>
      <c r="E27">
        <v>230</v>
      </c>
      <c r="F27">
        <v>25</v>
      </c>
      <c r="G27">
        <v>39</v>
      </c>
      <c r="H27">
        <v>9</v>
      </c>
      <c r="I27">
        <v>45</v>
      </c>
      <c r="J27">
        <v>0.5</v>
      </c>
      <c r="K27">
        <v>60</v>
      </c>
      <c r="L27">
        <v>20</v>
      </c>
      <c r="M27">
        <v>1480</v>
      </c>
      <c r="N27">
        <v>62</v>
      </c>
      <c r="O27">
        <v>55</v>
      </c>
      <c r="P27">
        <v>18</v>
      </c>
      <c r="Q27">
        <v>3</v>
      </c>
      <c r="R27">
        <v>12</v>
      </c>
      <c r="S27">
        <v>8</v>
      </c>
      <c r="T27">
        <v>30</v>
      </c>
      <c r="U27">
        <v>10</v>
      </c>
      <c r="V27">
        <v>15</v>
      </c>
      <c r="W27">
        <v>20</v>
      </c>
      <c r="X27">
        <v>15</v>
      </c>
    </row>
    <row r="28" spans="1:24" x14ac:dyDescent="0.3">
      <c r="A28" t="s">
        <v>24</v>
      </c>
      <c r="B28" t="s">
        <v>73</v>
      </c>
      <c r="C28" t="s">
        <v>74</v>
      </c>
      <c r="D28">
        <v>670</v>
      </c>
      <c r="E28">
        <v>310</v>
      </c>
      <c r="F28">
        <v>35</v>
      </c>
      <c r="G28">
        <v>53</v>
      </c>
      <c r="H28">
        <v>13</v>
      </c>
      <c r="I28">
        <v>63</v>
      </c>
      <c r="J28">
        <v>1.5</v>
      </c>
      <c r="K28">
        <v>295</v>
      </c>
      <c r="L28">
        <v>99</v>
      </c>
      <c r="M28">
        <v>1510</v>
      </c>
      <c r="N28">
        <v>63</v>
      </c>
      <c r="O28">
        <v>56</v>
      </c>
      <c r="P28">
        <v>19</v>
      </c>
      <c r="Q28">
        <v>3</v>
      </c>
      <c r="R28">
        <v>12</v>
      </c>
      <c r="S28">
        <v>7</v>
      </c>
      <c r="T28">
        <v>33</v>
      </c>
      <c r="U28">
        <v>20</v>
      </c>
      <c r="V28">
        <v>4</v>
      </c>
      <c r="W28">
        <v>25</v>
      </c>
      <c r="X28">
        <v>25</v>
      </c>
    </row>
    <row r="29" spans="1:24" x14ac:dyDescent="0.3">
      <c r="A29" t="s">
        <v>24</v>
      </c>
      <c r="B29" t="s">
        <v>75</v>
      </c>
      <c r="C29" t="s">
        <v>76</v>
      </c>
      <c r="D29">
        <v>740</v>
      </c>
      <c r="E29">
        <v>430</v>
      </c>
      <c r="F29">
        <v>48</v>
      </c>
      <c r="G29">
        <v>73</v>
      </c>
      <c r="H29">
        <v>17</v>
      </c>
      <c r="I29">
        <v>87</v>
      </c>
      <c r="J29">
        <v>0</v>
      </c>
      <c r="K29">
        <v>555</v>
      </c>
      <c r="L29">
        <v>185</v>
      </c>
      <c r="M29">
        <v>1560</v>
      </c>
      <c r="N29">
        <v>65</v>
      </c>
      <c r="O29">
        <v>51</v>
      </c>
      <c r="P29">
        <v>17</v>
      </c>
      <c r="Q29">
        <v>3</v>
      </c>
      <c r="R29">
        <v>12</v>
      </c>
      <c r="S29">
        <v>3</v>
      </c>
      <c r="T29">
        <v>28</v>
      </c>
      <c r="U29">
        <v>15</v>
      </c>
      <c r="V29">
        <v>2</v>
      </c>
      <c r="W29">
        <v>15</v>
      </c>
      <c r="X29">
        <v>25</v>
      </c>
    </row>
    <row r="30" spans="1:24" x14ac:dyDescent="0.3">
      <c r="A30" t="s">
        <v>24</v>
      </c>
      <c r="B30" t="s">
        <v>77</v>
      </c>
      <c r="C30" t="s">
        <v>78</v>
      </c>
      <c r="D30">
        <v>800</v>
      </c>
      <c r="E30">
        <v>470</v>
      </c>
      <c r="F30">
        <v>52</v>
      </c>
      <c r="G30">
        <v>80</v>
      </c>
      <c r="H30">
        <v>18</v>
      </c>
      <c r="I30">
        <v>90</v>
      </c>
      <c r="J30">
        <v>0</v>
      </c>
      <c r="K30">
        <v>555</v>
      </c>
      <c r="L30">
        <v>185</v>
      </c>
      <c r="M30">
        <v>1680</v>
      </c>
      <c r="N30">
        <v>70</v>
      </c>
      <c r="O30">
        <v>56</v>
      </c>
      <c r="P30">
        <v>19</v>
      </c>
      <c r="Q30">
        <v>4</v>
      </c>
      <c r="R30">
        <v>17</v>
      </c>
      <c r="S30">
        <v>3</v>
      </c>
      <c r="T30">
        <v>28</v>
      </c>
      <c r="U30">
        <v>15</v>
      </c>
      <c r="V30">
        <v>2</v>
      </c>
      <c r="W30">
        <v>15</v>
      </c>
      <c r="X30">
        <v>30</v>
      </c>
    </row>
    <row r="31" spans="1:24" x14ac:dyDescent="0.3">
      <c r="A31" t="s">
        <v>24</v>
      </c>
      <c r="B31" t="s">
        <v>79</v>
      </c>
      <c r="C31" t="s">
        <v>80</v>
      </c>
      <c r="D31">
        <v>640</v>
      </c>
      <c r="E31">
        <v>330</v>
      </c>
      <c r="F31">
        <v>37</v>
      </c>
      <c r="G31">
        <v>57</v>
      </c>
      <c r="H31">
        <v>14</v>
      </c>
      <c r="I31">
        <v>69</v>
      </c>
      <c r="J31">
        <v>0</v>
      </c>
      <c r="K31">
        <v>35</v>
      </c>
      <c r="L31">
        <v>12</v>
      </c>
      <c r="M31">
        <v>1590</v>
      </c>
      <c r="N31">
        <v>66</v>
      </c>
      <c r="O31">
        <v>50</v>
      </c>
      <c r="P31">
        <v>17</v>
      </c>
      <c r="Q31">
        <v>3</v>
      </c>
      <c r="R31">
        <v>12</v>
      </c>
      <c r="S31">
        <v>3</v>
      </c>
      <c r="T31">
        <v>26</v>
      </c>
      <c r="U31">
        <v>0</v>
      </c>
      <c r="V31">
        <v>2</v>
      </c>
      <c r="W31">
        <v>10</v>
      </c>
      <c r="X31">
        <v>15</v>
      </c>
    </row>
    <row r="32" spans="1:24" x14ac:dyDescent="0.3">
      <c r="A32" t="s">
        <v>24</v>
      </c>
      <c r="B32" t="s">
        <v>81</v>
      </c>
      <c r="C32" t="s">
        <v>82</v>
      </c>
      <c r="D32">
        <v>690</v>
      </c>
      <c r="E32">
        <v>370</v>
      </c>
      <c r="F32">
        <v>41</v>
      </c>
      <c r="G32">
        <v>63</v>
      </c>
      <c r="H32">
        <v>14</v>
      </c>
      <c r="I32">
        <v>72</v>
      </c>
      <c r="J32">
        <v>0</v>
      </c>
      <c r="K32">
        <v>35</v>
      </c>
      <c r="L32">
        <v>12</v>
      </c>
      <c r="M32">
        <v>1700</v>
      </c>
      <c r="N32">
        <v>71</v>
      </c>
      <c r="O32">
        <v>55</v>
      </c>
      <c r="P32">
        <v>18</v>
      </c>
      <c r="Q32">
        <v>4</v>
      </c>
      <c r="R32">
        <v>17</v>
      </c>
      <c r="S32">
        <v>4</v>
      </c>
      <c r="T32">
        <v>26</v>
      </c>
      <c r="U32">
        <v>4</v>
      </c>
      <c r="V32">
        <v>2</v>
      </c>
      <c r="W32">
        <v>10</v>
      </c>
      <c r="X32">
        <v>15</v>
      </c>
    </row>
    <row r="33" spans="1:24" x14ac:dyDescent="0.3">
      <c r="A33" t="s">
        <v>24</v>
      </c>
      <c r="B33" t="s">
        <v>83</v>
      </c>
      <c r="C33" t="s">
        <v>84</v>
      </c>
      <c r="D33">
        <v>1090</v>
      </c>
      <c r="E33">
        <v>510</v>
      </c>
      <c r="F33">
        <v>56</v>
      </c>
      <c r="G33">
        <v>87</v>
      </c>
      <c r="H33">
        <v>19</v>
      </c>
      <c r="I33">
        <v>96</v>
      </c>
      <c r="J33">
        <v>0</v>
      </c>
      <c r="K33">
        <v>575</v>
      </c>
      <c r="L33">
        <v>192</v>
      </c>
      <c r="M33">
        <v>2150</v>
      </c>
      <c r="N33">
        <v>90</v>
      </c>
      <c r="O33">
        <v>111</v>
      </c>
      <c r="P33">
        <v>37</v>
      </c>
      <c r="Q33">
        <v>6</v>
      </c>
      <c r="R33">
        <v>23</v>
      </c>
      <c r="S33">
        <v>17</v>
      </c>
      <c r="T33">
        <v>36</v>
      </c>
      <c r="U33">
        <v>15</v>
      </c>
      <c r="V33">
        <v>2</v>
      </c>
      <c r="W33">
        <v>25</v>
      </c>
      <c r="X33">
        <v>40</v>
      </c>
    </row>
    <row r="34" spans="1:24" x14ac:dyDescent="0.3">
      <c r="A34" t="s">
        <v>24</v>
      </c>
      <c r="B34" t="s">
        <v>85</v>
      </c>
      <c r="C34" t="s">
        <v>86</v>
      </c>
      <c r="D34">
        <v>1150</v>
      </c>
      <c r="E34">
        <v>540</v>
      </c>
      <c r="F34">
        <v>60</v>
      </c>
      <c r="G34">
        <v>93</v>
      </c>
      <c r="H34">
        <v>20</v>
      </c>
      <c r="I34">
        <v>100</v>
      </c>
      <c r="J34">
        <v>0</v>
      </c>
      <c r="K34">
        <v>575</v>
      </c>
      <c r="L34">
        <v>192</v>
      </c>
      <c r="M34">
        <v>2260</v>
      </c>
      <c r="N34">
        <v>94</v>
      </c>
      <c r="O34">
        <v>116</v>
      </c>
      <c r="P34">
        <v>39</v>
      </c>
      <c r="Q34">
        <v>7</v>
      </c>
      <c r="R34">
        <v>28</v>
      </c>
      <c r="S34">
        <v>17</v>
      </c>
      <c r="T34">
        <v>36</v>
      </c>
      <c r="U34">
        <v>15</v>
      </c>
      <c r="V34">
        <v>2</v>
      </c>
      <c r="W34">
        <v>30</v>
      </c>
      <c r="X34">
        <v>40</v>
      </c>
    </row>
    <row r="35" spans="1:24" x14ac:dyDescent="0.3">
      <c r="A35" t="s">
        <v>24</v>
      </c>
      <c r="B35" t="s">
        <v>87</v>
      </c>
      <c r="C35" t="s">
        <v>88</v>
      </c>
      <c r="D35">
        <v>990</v>
      </c>
      <c r="E35">
        <v>410</v>
      </c>
      <c r="F35">
        <v>46</v>
      </c>
      <c r="G35">
        <v>70</v>
      </c>
      <c r="H35">
        <v>16</v>
      </c>
      <c r="I35">
        <v>78</v>
      </c>
      <c r="J35">
        <v>0</v>
      </c>
      <c r="K35">
        <v>55</v>
      </c>
      <c r="L35">
        <v>19</v>
      </c>
      <c r="M35">
        <v>2170</v>
      </c>
      <c r="N35">
        <v>91</v>
      </c>
      <c r="O35">
        <v>110</v>
      </c>
      <c r="P35">
        <v>37</v>
      </c>
      <c r="Q35">
        <v>6</v>
      </c>
      <c r="R35">
        <v>23</v>
      </c>
      <c r="S35">
        <v>17</v>
      </c>
      <c r="T35">
        <v>35</v>
      </c>
      <c r="U35">
        <v>0</v>
      </c>
      <c r="V35">
        <v>2</v>
      </c>
      <c r="W35">
        <v>25</v>
      </c>
      <c r="X35">
        <v>30</v>
      </c>
    </row>
    <row r="36" spans="1:24" x14ac:dyDescent="0.3">
      <c r="A36" t="s">
        <v>24</v>
      </c>
      <c r="B36" t="s">
        <v>89</v>
      </c>
      <c r="C36" t="s">
        <v>90</v>
      </c>
      <c r="D36">
        <v>1050</v>
      </c>
      <c r="E36">
        <v>450</v>
      </c>
      <c r="F36">
        <v>50</v>
      </c>
      <c r="G36">
        <v>77</v>
      </c>
      <c r="H36">
        <v>16</v>
      </c>
      <c r="I36">
        <v>81</v>
      </c>
      <c r="J36">
        <v>0</v>
      </c>
      <c r="K36">
        <v>55</v>
      </c>
      <c r="L36">
        <v>19</v>
      </c>
      <c r="M36">
        <v>2290</v>
      </c>
      <c r="N36">
        <v>95</v>
      </c>
      <c r="O36">
        <v>115</v>
      </c>
      <c r="P36">
        <v>38</v>
      </c>
      <c r="Q36">
        <v>7</v>
      </c>
      <c r="R36">
        <v>28</v>
      </c>
      <c r="S36">
        <v>18</v>
      </c>
      <c r="T36">
        <v>35</v>
      </c>
      <c r="U36">
        <v>4</v>
      </c>
      <c r="V36">
        <v>2</v>
      </c>
      <c r="W36">
        <v>25</v>
      </c>
      <c r="X36">
        <v>30</v>
      </c>
    </row>
    <row r="37" spans="1:24" x14ac:dyDescent="0.3">
      <c r="A37" t="s">
        <v>24</v>
      </c>
      <c r="B37" t="s">
        <v>91</v>
      </c>
      <c r="C37" t="s">
        <v>92</v>
      </c>
      <c r="D37">
        <v>350</v>
      </c>
      <c r="E37">
        <v>80</v>
      </c>
      <c r="F37">
        <v>9</v>
      </c>
      <c r="G37">
        <v>13</v>
      </c>
      <c r="H37">
        <v>2</v>
      </c>
      <c r="I37">
        <v>9</v>
      </c>
      <c r="J37">
        <v>0</v>
      </c>
      <c r="K37">
        <v>20</v>
      </c>
      <c r="L37">
        <v>7</v>
      </c>
      <c r="M37">
        <v>590</v>
      </c>
      <c r="N37">
        <v>24</v>
      </c>
      <c r="O37">
        <v>60</v>
      </c>
      <c r="P37">
        <v>20</v>
      </c>
      <c r="Q37">
        <v>3</v>
      </c>
      <c r="R37">
        <v>10</v>
      </c>
      <c r="S37">
        <v>14</v>
      </c>
      <c r="T37">
        <v>8</v>
      </c>
      <c r="U37">
        <v>0</v>
      </c>
      <c r="V37">
        <v>0</v>
      </c>
      <c r="W37">
        <v>15</v>
      </c>
      <c r="X37">
        <v>15</v>
      </c>
    </row>
    <row r="38" spans="1:24" x14ac:dyDescent="0.3">
      <c r="A38" t="s">
        <v>24</v>
      </c>
      <c r="B38" t="s">
        <v>93</v>
      </c>
      <c r="C38" t="s">
        <v>94</v>
      </c>
      <c r="D38">
        <v>520</v>
      </c>
      <c r="E38">
        <v>210</v>
      </c>
      <c r="F38">
        <v>24</v>
      </c>
      <c r="G38">
        <v>37</v>
      </c>
      <c r="H38">
        <v>7</v>
      </c>
      <c r="I38">
        <v>36</v>
      </c>
      <c r="J38">
        <v>0</v>
      </c>
      <c r="K38">
        <v>50</v>
      </c>
      <c r="L38">
        <v>17</v>
      </c>
      <c r="M38">
        <v>930</v>
      </c>
      <c r="N38">
        <v>39</v>
      </c>
      <c r="O38">
        <v>61</v>
      </c>
      <c r="P38">
        <v>20</v>
      </c>
      <c r="Q38">
        <v>3</v>
      </c>
      <c r="R38">
        <v>10</v>
      </c>
      <c r="S38">
        <v>14</v>
      </c>
      <c r="T38">
        <v>15</v>
      </c>
      <c r="U38">
        <v>0</v>
      </c>
      <c r="V38">
        <v>0</v>
      </c>
      <c r="W38">
        <v>15</v>
      </c>
      <c r="X38">
        <v>15</v>
      </c>
    </row>
    <row r="39" spans="1:24" x14ac:dyDescent="0.3">
      <c r="A39" t="s">
        <v>24</v>
      </c>
      <c r="B39" t="s">
        <v>95</v>
      </c>
      <c r="C39" t="s">
        <v>30</v>
      </c>
      <c r="D39">
        <v>300</v>
      </c>
      <c r="E39">
        <v>150</v>
      </c>
      <c r="F39">
        <v>16</v>
      </c>
      <c r="G39">
        <v>25</v>
      </c>
      <c r="H39">
        <v>7</v>
      </c>
      <c r="I39">
        <v>33</v>
      </c>
      <c r="J39">
        <v>0</v>
      </c>
      <c r="K39">
        <v>115</v>
      </c>
      <c r="L39">
        <v>38</v>
      </c>
      <c r="M39">
        <v>790</v>
      </c>
      <c r="N39">
        <v>33</v>
      </c>
      <c r="O39">
        <v>26</v>
      </c>
      <c r="P39">
        <v>9</v>
      </c>
      <c r="Q39">
        <v>1</v>
      </c>
      <c r="R39">
        <v>5</v>
      </c>
      <c r="S39">
        <v>2</v>
      </c>
      <c r="T39">
        <v>12</v>
      </c>
      <c r="U39">
        <v>10</v>
      </c>
      <c r="V39">
        <v>2</v>
      </c>
      <c r="W39">
        <v>15</v>
      </c>
      <c r="X39">
        <v>15</v>
      </c>
    </row>
    <row r="40" spans="1:24" x14ac:dyDescent="0.3">
      <c r="A40" t="s">
        <v>24</v>
      </c>
      <c r="B40" t="s">
        <v>96</v>
      </c>
      <c r="C40" t="s">
        <v>97</v>
      </c>
      <c r="D40">
        <v>150</v>
      </c>
      <c r="E40">
        <v>80</v>
      </c>
      <c r="F40">
        <v>9</v>
      </c>
      <c r="G40">
        <v>14</v>
      </c>
      <c r="H40">
        <v>1.5</v>
      </c>
      <c r="I40">
        <v>6</v>
      </c>
      <c r="J40">
        <v>0</v>
      </c>
      <c r="K40">
        <v>0</v>
      </c>
      <c r="L40">
        <v>0</v>
      </c>
      <c r="M40">
        <v>310</v>
      </c>
      <c r="N40">
        <v>13</v>
      </c>
      <c r="O40">
        <v>15</v>
      </c>
      <c r="P40">
        <v>5</v>
      </c>
      <c r="Q40">
        <v>2</v>
      </c>
      <c r="R40">
        <v>6</v>
      </c>
      <c r="S40">
        <v>0</v>
      </c>
      <c r="T40">
        <v>1</v>
      </c>
      <c r="U40">
        <v>0</v>
      </c>
      <c r="V40">
        <v>2</v>
      </c>
      <c r="W40">
        <v>0</v>
      </c>
      <c r="X40">
        <v>2</v>
      </c>
    </row>
    <row r="41" spans="1:24" x14ac:dyDescent="0.3">
      <c r="A41" t="s">
        <v>24</v>
      </c>
      <c r="B41" t="s">
        <v>98</v>
      </c>
      <c r="C41" t="s">
        <v>99</v>
      </c>
      <c r="D41">
        <v>460</v>
      </c>
      <c r="E41">
        <v>170</v>
      </c>
      <c r="F41">
        <v>19</v>
      </c>
      <c r="G41">
        <v>30</v>
      </c>
      <c r="H41">
        <v>9</v>
      </c>
      <c r="I41">
        <v>43</v>
      </c>
      <c r="J41">
        <v>0</v>
      </c>
      <c r="K41">
        <v>15</v>
      </c>
      <c r="L41">
        <v>5</v>
      </c>
      <c r="M41">
        <v>370</v>
      </c>
      <c r="N41">
        <v>15</v>
      </c>
      <c r="O41">
        <v>66</v>
      </c>
      <c r="P41">
        <v>22</v>
      </c>
      <c r="Q41">
        <v>3</v>
      </c>
      <c r="R41">
        <v>11</v>
      </c>
      <c r="S41">
        <v>32</v>
      </c>
      <c r="T41">
        <v>6</v>
      </c>
      <c r="U41">
        <v>4</v>
      </c>
      <c r="V41">
        <v>0</v>
      </c>
      <c r="W41">
        <v>6</v>
      </c>
      <c r="X41">
        <v>15</v>
      </c>
    </row>
    <row r="42" spans="1:24" x14ac:dyDescent="0.3">
      <c r="A42" t="s">
        <v>24</v>
      </c>
      <c r="B42" t="s">
        <v>100</v>
      </c>
      <c r="C42" t="s">
        <v>101</v>
      </c>
      <c r="D42">
        <v>290</v>
      </c>
      <c r="E42">
        <v>35</v>
      </c>
      <c r="F42">
        <v>4</v>
      </c>
      <c r="G42">
        <v>6</v>
      </c>
      <c r="H42">
        <v>1.5</v>
      </c>
      <c r="I42">
        <v>8</v>
      </c>
      <c r="J42">
        <v>0</v>
      </c>
      <c r="K42">
        <v>5</v>
      </c>
      <c r="L42">
        <v>2</v>
      </c>
      <c r="M42">
        <v>160</v>
      </c>
      <c r="N42">
        <v>7</v>
      </c>
      <c r="O42">
        <v>58</v>
      </c>
      <c r="P42">
        <v>19</v>
      </c>
      <c r="Q42">
        <v>5</v>
      </c>
      <c r="R42">
        <v>19</v>
      </c>
      <c r="S42">
        <v>32</v>
      </c>
      <c r="T42">
        <v>5</v>
      </c>
      <c r="U42">
        <v>2</v>
      </c>
      <c r="V42">
        <v>130</v>
      </c>
      <c r="W42">
        <v>10</v>
      </c>
      <c r="X42">
        <v>10</v>
      </c>
    </row>
    <row r="43" spans="1:24" x14ac:dyDescent="0.3">
      <c r="A43" t="s">
        <v>24</v>
      </c>
      <c r="B43" t="s">
        <v>102</v>
      </c>
      <c r="C43" t="s">
        <v>101</v>
      </c>
      <c r="D43">
        <v>260</v>
      </c>
      <c r="E43">
        <v>40</v>
      </c>
      <c r="F43">
        <v>4</v>
      </c>
      <c r="G43">
        <v>6</v>
      </c>
      <c r="H43">
        <v>1.5</v>
      </c>
      <c r="I43">
        <v>8</v>
      </c>
      <c r="J43">
        <v>0</v>
      </c>
      <c r="K43">
        <v>5</v>
      </c>
      <c r="L43">
        <v>2</v>
      </c>
      <c r="M43">
        <v>115</v>
      </c>
      <c r="N43">
        <v>5</v>
      </c>
      <c r="O43">
        <v>49</v>
      </c>
      <c r="P43">
        <v>16</v>
      </c>
      <c r="Q43">
        <v>5</v>
      </c>
      <c r="R43">
        <v>22</v>
      </c>
      <c r="S43">
        <v>18</v>
      </c>
      <c r="T43">
        <v>5</v>
      </c>
      <c r="U43">
        <v>2</v>
      </c>
      <c r="V43">
        <v>130</v>
      </c>
      <c r="W43">
        <v>6</v>
      </c>
      <c r="X43">
        <v>10</v>
      </c>
    </row>
    <row r="44" spans="1:24" x14ac:dyDescent="0.3">
      <c r="A44" t="s">
        <v>103</v>
      </c>
      <c r="B44" t="s">
        <v>104</v>
      </c>
      <c r="C44" t="s">
        <v>105</v>
      </c>
      <c r="D44">
        <v>530</v>
      </c>
      <c r="E44">
        <v>240</v>
      </c>
      <c r="F44">
        <v>27</v>
      </c>
      <c r="G44">
        <v>42</v>
      </c>
      <c r="H44">
        <v>10</v>
      </c>
      <c r="I44">
        <v>48</v>
      </c>
      <c r="J44">
        <v>1</v>
      </c>
      <c r="K44">
        <v>85</v>
      </c>
      <c r="L44">
        <v>28</v>
      </c>
      <c r="M44">
        <v>960</v>
      </c>
      <c r="N44">
        <v>40</v>
      </c>
      <c r="O44">
        <v>47</v>
      </c>
      <c r="P44">
        <v>16</v>
      </c>
      <c r="Q44">
        <v>3</v>
      </c>
      <c r="R44">
        <v>13</v>
      </c>
      <c r="S44">
        <v>9</v>
      </c>
      <c r="T44">
        <v>24</v>
      </c>
      <c r="U44">
        <v>6</v>
      </c>
      <c r="V44">
        <v>2</v>
      </c>
      <c r="W44">
        <v>25</v>
      </c>
      <c r="X44">
        <v>25</v>
      </c>
    </row>
    <row r="45" spans="1:24" x14ac:dyDescent="0.3">
      <c r="A45" t="s">
        <v>103</v>
      </c>
      <c r="B45" t="s">
        <v>106</v>
      </c>
      <c r="C45" t="s">
        <v>107</v>
      </c>
      <c r="D45">
        <v>520</v>
      </c>
      <c r="E45">
        <v>240</v>
      </c>
      <c r="F45">
        <v>26</v>
      </c>
      <c r="G45">
        <v>41</v>
      </c>
      <c r="H45">
        <v>12</v>
      </c>
      <c r="I45">
        <v>61</v>
      </c>
      <c r="J45">
        <v>1.5</v>
      </c>
      <c r="K45">
        <v>95</v>
      </c>
      <c r="L45">
        <v>31</v>
      </c>
      <c r="M45">
        <v>1100</v>
      </c>
      <c r="N45">
        <v>46</v>
      </c>
      <c r="O45">
        <v>41</v>
      </c>
      <c r="P45">
        <v>14</v>
      </c>
      <c r="Q45">
        <v>3</v>
      </c>
      <c r="R45">
        <v>11</v>
      </c>
      <c r="S45">
        <v>10</v>
      </c>
      <c r="T45">
        <v>30</v>
      </c>
      <c r="U45">
        <v>10</v>
      </c>
      <c r="V45">
        <v>2</v>
      </c>
      <c r="W45">
        <v>30</v>
      </c>
      <c r="X45">
        <v>25</v>
      </c>
    </row>
    <row r="46" spans="1:24" x14ac:dyDescent="0.3">
      <c r="A46" t="s">
        <v>103</v>
      </c>
      <c r="B46" t="s">
        <v>108</v>
      </c>
      <c r="C46" t="s">
        <v>109</v>
      </c>
      <c r="D46">
        <v>600</v>
      </c>
      <c r="E46">
        <v>260</v>
      </c>
      <c r="F46">
        <v>29</v>
      </c>
      <c r="G46">
        <v>45</v>
      </c>
      <c r="H46">
        <v>13</v>
      </c>
      <c r="I46">
        <v>63</v>
      </c>
      <c r="J46">
        <v>1.5</v>
      </c>
      <c r="K46">
        <v>105</v>
      </c>
      <c r="L46">
        <v>34</v>
      </c>
      <c r="M46">
        <v>1440</v>
      </c>
      <c r="N46">
        <v>60</v>
      </c>
      <c r="O46">
        <v>48</v>
      </c>
      <c r="P46">
        <v>16</v>
      </c>
      <c r="Q46">
        <v>3</v>
      </c>
      <c r="R46">
        <v>12</v>
      </c>
      <c r="S46">
        <v>12</v>
      </c>
      <c r="T46">
        <v>37</v>
      </c>
      <c r="U46">
        <v>6</v>
      </c>
      <c r="V46">
        <v>15</v>
      </c>
      <c r="W46">
        <v>25</v>
      </c>
      <c r="X46">
        <v>30</v>
      </c>
    </row>
    <row r="47" spans="1:24" x14ac:dyDescent="0.3">
      <c r="A47" t="s">
        <v>103</v>
      </c>
      <c r="B47" t="s">
        <v>110</v>
      </c>
      <c r="C47" t="s">
        <v>111</v>
      </c>
      <c r="D47">
        <v>610</v>
      </c>
      <c r="E47">
        <v>280</v>
      </c>
      <c r="F47">
        <v>31</v>
      </c>
      <c r="G47">
        <v>48</v>
      </c>
      <c r="H47">
        <v>13</v>
      </c>
      <c r="I47">
        <v>64</v>
      </c>
      <c r="J47">
        <v>1.5</v>
      </c>
      <c r="K47">
        <v>105</v>
      </c>
      <c r="L47">
        <v>35</v>
      </c>
      <c r="M47">
        <v>1180</v>
      </c>
      <c r="N47">
        <v>49</v>
      </c>
      <c r="O47">
        <v>46</v>
      </c>
      <c r="P47">
        <v>15</v>
      </c>
      <c r="Q47">
        <v>3</v>
      </c>
      <c r="R47">
        <v>14</v>
      </c>
      <c r="S47">
        <v>10</v>
      </c>
      <c r="T47">
        <v>37</v>
      </c>
      <c r="U47">
        <v>8</v>
      </c>
      <c r="V47">
        <v>20</v>
      </c>
      <c r="W47">
        <v>25</v>
      </c>
      <c r="X47">
        <v>30</v>
      </c>
    </row>
    <row r="48" spans="1:24" x14ac:dyDescent="0.3">
      <c r="A48" t="s">
        <v>103</v>
      </c>
      <c r="B48" t="s">
        <v>112</v>
      </c>
      <c r="C48" t="s">
        <v>113</v>
      </c>
      <c r="D48">
        <v>540</v>
      </c>
      <c r="E48">
        <v>250</v>
      </c>
      <c r="F48">
        <v>27</v>
      </c>
      <c r="G48">
        <v>42</v>
      </c>
      <c r="H48">
        <v>11</v>
      </c>
      <c r="I48">
        <v>54</v>
      </c>
      <c r="J48">
        <v>1.5</v>
      </c>
      <c r="K48">
        <v>85</v>
      </c>
      <c r="L48">
        <v>28</v>
      </c>
      <c r="M48">
        <v>960</v>
      </c>
      <c r="N48">
        <v>40</v>
      </c>
      <c r="O48">
        <v>45</v>
      </c>
      <c r="P48">
        <v>15</v>
      </c>
      <c r="Q48">
        <v>3</v>
      </c>
      <c r="R48">
        <v>13</v>
      </c>
      <c r="S48">
        <v>9</v>
      </c>
      <c r="T48">
        <v>29</v>
      </c>
      <c r="U48">
        <v>10</v>
      </c>
      <c r="V48">
        <v>8</v>
      </c>
      <c r="W48">
        <v>25</v>
      </c>
      <c r="X48">
        <v>30</v>
      </c>
    </row>
    <row r="49" spans="1:24" x14ac:dyDescent="0.3">
      <c r="A49" t="s">
        <v>103</v>
      </c>
      <c r="B49" t="s">
        <v>114</v>
      </c>
      <c r="C49" t="s">
        <v>78</v>
      </c>
      <c r="D49">
        <v>750</v>
      </c>
      <c r="E49">
        <v>380</v>
      </c>
      <c r="F49">
        <v>43</v>
      </c>
      <c r="G49">
        <v>66</v>
      </c>
      <c r="H49">
        <v>19</v>
      </c>
      <c r="I49">
        <v>96</v>
      </c>
      <c r="J49">
        <v>2.5</v>
      </c>
      <c r="K49">
        <v>160</v>
      </c>
      <c r="L49">
        <v>53</v>
      </c>
      <c r="M49">
        <v>1280</v>
      </c>
      <c r="N49">
        <v>53</v>
      </c>
      <c r="O49">
        <v>42</v>
      </c>
      <c r="P49">
        <v>14</v>
      </c>
      <c r="Q49">
        <v>3</v>
      </c>
      <c r="R49">
        <v>11</v>
      </c>
      <c r="S49">
        <v>10</v>
      </c>
      <c r="T49">
        <v>48</v>
      </c>
      <c r="U49">
        <v>10</v>
      </c>
      <c r="V49">
        <v>2</v>
      </c>
      <c r="W49">
        <v>30</v>
      </c>
      <c r="X49">
        <v>35</v>
      </c>
    </row>
    <row r="50" spans="1:24" x14ac:dyDescent="0.3">
      <c r="A50" t="s">
        <v>103</v>
      </c>
      <c r="B50" t="s">
        <v>115</v>
      </c>
      <c r="C50" t="s">
        <v>116</v>
      </c>
      <c r="D50">
        <v>240</v>
      </c>
      <c r="E50">
        <v>70</v>
      </c>
      <c r="F50">
        <v>8</v>
      </c>
      <c r="G50">
        <v>12</v>
      </c>
      <c r="H50">
        <v>3</v>
      </c>
      <c r="I50">
        <v>15</v>
      </c>
      <c r="J50">
        <v>0</v>
      </c>
      <c r="K50">
        <v>30</v>
      </c>
      <c r="L50">
        <v>10</v>
      </c>
      <c r="M50">
        <v>480</v>
      </c>
      <c r="N50">
        <v>20</v>
      </c>
      <c r="O50">
        <v>32</v>
      </c>
      <c r="P50">
        <v>11</v>
      </c>
      <c r="Q50">
        <v>1</v>
      </c>
      <c r="R50">
        <v>6</v>
      </c>
      <c r="S50">
        <v>6</v>
      </c>
      <c r="T50">
        <v>12</v>
      </c>
      <c r="U50">
        <v>2</v>
      </c>
      <c r="V50">
        <v>2</v>
      </c>
      <c r="W50">
        <v>10</v>
      </c>
      <c r="X50">
        <v>15</v>
      </c>
    </row>
    <row r="51" spans="1:24" x14ac:dyDescent="0.3">
      <c r="A51" t="s">
        <v>103</v>
      </c>
      <c r="B51" t="s">
        <v>117</v>
      </c>
      <c r="C51" t="s">
        <v>118</v>
      </c>
      <c r="D51">
        <v>290</v>
      </c>
      <c r="E51">
        <v>100</v>
      </c>
      <c r="F51">
        <v>11</v>
      </c>
      <c r="G51">
        <v>18</v>
      </c>
      <c r="H51">
        <v>5</v>
      </c>
      <c r="I51">
        <v>27</v>
      </c>
      <c r="J51">
        <v>0.5</v>
      </c>
      <c r="K51">
        <v>45</v>
      </c>
      <c r="L51">
        <v>15</v>
      </c>
      <c r="M51">
        <v>680</v>
      </c>
      <c r="N51">
        <v>28</v>
      </c>
      <c r="O51">
        <v>33</v>
      </c>
      <c r="P51">
        <v>11</v>
      </c>
      <c r="Q51">
        <v>2</v>
      </c>
      <c r="R51">
        <v>7</v>
      </c>
      <c r="S51">
        <v>7</v>
      </c>
      <c r="T51">
        <v>15</v>
      </c>
      <c r="U51">
        <v>6</v>
      </c>
      <c r="V51">
        <v>2</v>
      </c>
      <c r="W51">
        <v>20</v>
      </c>
      <c r="X51">
        <v>15</v>
      </c>
    </row>
    <row r="52" spans="1:24" x14ac:dyDescent="0.3">
      <c r="A52" t="s">
        <v>103</v>
      </c>
      <c r="B52" t="s">
        <v>119</v>
      </c>
      <c r="C52" t="s">
        <v>32</v>
      </c>
      <c r="D52">
        <v>430</v>
      </c>
      <c r="E52">
        <v>190</v>
      </c>
      <c r="F52">
        <v>21</v>
      </c>
      <c r="G52">
        <v>32</v>
      </c>
      <c r="H52">
        <v>10</v>
      </c>
      <c r="I52">
        <v>52</v>
      </c>
      <c r="J52">
        <v>1</v>
      </c>
      <c r="K52">
        <v>90</v>
      </c>
      <c r="L52">
        <v>30</v>
      </c>
      <c r="M52">
        <v>1040</v>
      </c>
      <c r="N52">
        <v>43</v>
      </c>
      <c r="O52">
        <v>35</v>
      </c>
      <c r="P52">
        <v>12</v>
      </c>
      <c r="Q52">
        <v>2</v>
      </c>
      <c r="R52">
        <v>8</v>
      </c>
      <c r="S52">
        <v>7</v>
      </c>
      <c r="T52">
        <v>24</v>
      </c>
      <c r="U52">
        <v>10</v>
      </c>
      <c r="V52">
        <v>2</v>
      </c>
      <c r="W52">
        <v>30</v>
      </c>
      <c r="X52">
        <v>20</v>
      </c>
    </row>
    <row r="53" spans="1:24" x14ac:dyDescent="0.3">
      <c r="A53" t="s">
        <v>103</v>
      </c>
      <c r="B53" t="s">
        <v>120</v>
      </c>
      <c r="C53" t="s">
        <v>121</v>
      </c>
      <c r="D53">
        <v>720</v>
      </c>
      <c r="E53">
        <v>360</v>
      </c>
      <c r="F53">
        <v>40</v>
      </c>
      <c r="G53">
        <v>62</v>
      </c>
      <c r="H53">
        <v>15</v>
      </c>
      <c r="I53">
        <v>75</v>
      </c>
      <c r="J53">
        <v>1.5</v>
      </c>
      <c r="K53">
        <v>115</v>
      </c>
      <c r="L53">
        <v>38</v>
      </c>
      <c r="M53">
        <v>1470</v>
      </c>
      <c r="N53">
        <v>61</v>
      </c>
      <c r="O53">
        <v>51</v>
      </c>
      <c r="P53">
        <v>17</v>
      </c>
      <c r="Q53">
        <v>4</v>
      </c>
      <c r="R53">
        <v>14</v>
      </c>
      <c r="S53">
        <v>14</v>
      </c>
      <c r="T53">
        <v>39</v>
      </c>
      <c r="U53">
        <v>8</v>
      </c>
      <c r="V53">
        <v>25</v>
      </c>
      <c r="W53">
        <v>30</v>
      </c>
      <c r="X53">
        <v>25</v>
      </c>
    </row>
    <row r="54" spans="1:24" x14ac:dyDescent="0.3">
      <c r="A54" t="s">
        <v>103</v>
      </c>
      <c r="B54" t="s">
        <v>122</v>
      </c>
      <c r="C54" t="s">
        <v>123</v>
      </c>
      <c r="D54">
        <v>380</v>
      </c>
      <c r="E54">
        <v>150</v>
      </c>
      <c r="F54">
        <v>17</v>
      </c>
      <c r="G54">
        <v>26</v>
      </c>
      <c r="H54">
        <v>8</v>
      </c>
      <c r="I54">
        <v>40</v>
      </c>
      <c r="J54">
        <v>1</v>
      </c>
      <c r="K54">
        <v>75</v>
      </c>
      <c r="L54">
        <v>25</v>
      </c>
      <c r="M54">
        <v>840</v>
      </c>
      <c r="N54">
        <v>35</v>
      </c>
      <c r="O54">
        <v>34</v>
      </c>
      <c r="P54">
        <v>11</v>
      </c>
      <c r="Q54">
        <v>2</v>
      </c>
      <c r="R54">
        <v>7</v>
      </c>
      <c r="S54">
        <v>7</v>
      </c>
      <c r="T54">
        <v>22</v>
      </c>
      <c r="U54">
        <v>6</v>
      </c>
      <c r="V54">
        <v>2</v>
      </c>
      <c r="W54">
        <v>20</v>
      </c>
      <c r="X54">
        <v>20</v>
      </c>
    </row>
    <row r="55" spans="1:24" x14ac:dyDescent="0.3">
      <c r="A55" t="s">
        <v>103</v>
      </c>
      <c r="B55" t="s">
        <v>124</v>
      </c>
      <c r="C55" t="s">
        <v>32</v>
      </c>
      <c r="D55">
        <v>440</v>
      </c>
      <c r="E55">
        <v>200</v>
      </c>
      <c r="F55">
        <v>22</v>
      </c>
      <c r="G55">
        <v>34</v>
      </c>
      <c r="H55">
        <v>10</v>
      </c>
      <c r="I55">
        <v>49</v>
      </c>
      <c r="J55">
        <v>1</v>
      </c>
      <c r="K55">
        <v>90</v>
      </c>
      <c r="L55">
        <v>30</v>
      </c>
      <c r="M55">
        <v>1110</v>
      </c>
      <c r="N55">
        <v>46</v>
      </c>
      <c r="O55">
        <v>35</v>
      </c>
      <c r="P55">
        <v>12</v>
      </c>
      <c r="Q55">
        <v>2</v>
      </c>
      <c r="R55">
        <v>7</v>
      </c>
      <c r="S55">
        <v>7</v>
      </c>
      <c r="T55">
        <v>27</v>
      </c>
      <c r="U55">
        <v>6</v>
      </c>
      <c r="V55">
        <v>10</v>
      </c>
      <c r="W55">
        <v>20</v>
      </c>
      <c r="X55">
        <v>20</v>
      </c>
    </row>
    <row r="56" spans="1:24" x14ac:dyDescent="0.3">
      <c r="A56" t="s">
        <v>103</v>
      </c>
      <c r="B56" t="s">
        <v>125</v>
      </c>
      <c r="C56" t="s">
        <v>126</v>
      </c>
      <c r="D56">
        <v>430</v>
      </c>
      <c r="E56">
        <v>200</v>
      </c>
      <c r="F56">
        <v>22</v>
      </c>
      <c r="G56">
        <v>35</v>
      </c>
      <c r="H56">
        <v>9</v>
      </c>
      <c r="I56">
        <v>44</v>
      </c>
      <c r="J56">
        <v>1</v>
      </c>
      <c r="K56">
        <v>80</v>
      </c>
      <c r="L56">
        <v>27</v>
      </c>
      <c r="M56">
        <v>760</v>
      </c>
      <c r="N56">
        <v>32</v>
      </c>
      <c r="O56">
        <v>34</v>
      </c>
      <c r="P56">
        <v>11</v>
      </c>
      <c r="Q56">
        <v>2</v>
      </c>
      <c r="R56">
        <v>8</v>
      </c>
      <c r="S56">
        <v>7</v>
      </c>
      <c r="T56">
        <v>22</v>
      </c>
      <c r="U56">
        <v>8</v>
      </c>
      <c r="V56">
        <v>8</v>
      </c>
      <c r="W56">
        <v>20</v>
      </c>
      <c r="X56">
        <v>20</v>
      </c>
    </row>
    <row r="57" spans="1:24" x14ac:dyDescent="0.3">
      <c r="A57" t="s">
        <v>103</v>
      </c>
      <c r="B57" t="s">
        <v>127</v>
      </c>
      <c r="C57" t="s">
        <v>128</v>
      </c>
      <c r="D57">
        <v>430</v>
      </c>
      <c r="E57">
        <v>210</v>
      </c>
      <c r="F57">
        <v>23</v>
      </c>
      <c r="G57">
        <v>36</v>
      </c>
      <c r="H57">
        <v>9</v>
      </c>
      <c r="I57">
        <v>44</v>
      </c>
      <c r="J57">
        <v>1</v>
      </c>
      <c r="K57">
        <v>80</v>
      </c>
      <c r="L57">
        <v>27</v>
      </c>
      <c r="M57">
        <v>1030</v>
      </c>
      <c r="N57">
        <v>43</v>
      </c>
      <c r="O57">
        <v>35</v>
      </c>
      <c r="P57">
        <v>12</v>
      </c>
      <c r="Q57">
        <v>2</v>
      </c>
      <c r="R57">
        <v>7</v>
      </c>
      <c r="S57">
        <v>6</v>
      </c>
      <c r="T57">
        <v>22</v>
      </c>
      <c r="U57">
        <v>6</v>
      </c>
      <c r="V57">
        <v>8</v>
      </c>
      <c r="W57">
        <v>20</v>
      </c>
      <c r="X57">
        <v>20</v>
      </c>
    </row>
    <row r="58" spans="1:24" x14ac:dyDescent="0.3">
      <c r="A58" t="s">
        <v>103</v>
      </c>
      <c r="B58" t="s">
        <v>129</v>
      </c>
      <c r="C58" t="s">
        <v>130</v>
      </c>
      <c r="D58">
        <v>500</v>
      </c>
      <c r="E58">
        <v>240</v>
      </c>
      <c r="F58">
        <v>26</v>
      </c>
      <c r="G58">
        <v>40</v>
      </c>
      <c r="H58">
        <v>10</v>
      </c>
      <c r="I58">
        <v>48</v>
      </c>
      <c r="J58">
        <v>0</v>
      </c>
      <c r="K58">
        <v>70</v>
      </c>
      <c r="L58">
        <v>23</v>
      </c>
      <c r="M58">
        <v>980</v>
      </c>
      <c r="N58">
        <v>41</v>
      </c>
      <c r="O58">
        <v>44</v>
      </c>
      <c r="P58">
        <v>15</v>
      </c>
      <c r="Q58">
        <v>3</v>
      </c>
      <c r="R58">
        <v>10</v>
      </c>
      <c r="S58">
        <v>11</v>
      </c>
      <c r="T58">
        <v>22</v>
      </c>
      <c r="U58">
        <v>2</v>
      </c>
      <c r="V58">
        <v>2</v>
      </c>
      <c r="W58">
        <v>15</v>
      </c>
      <c r="X58">
        <v>20</v>
      </c>
    </row>
    <row r="59" spans="1:24" x14ac:dyDescent="0.3">
      <c r="A59" t="s">
        <v>131</v>
      </c>
      <c r="B59" t="s">
        <v>132</v>
      </c>
      <c r="C59" t="s">
        <v>133</v>
      </c>
      <c r="D59">
        <v>510</v>
      </c>
      <c r="E59">
        <v>200</v>
      </c>
      <c r="F59">
        <v>22</v>
      </c>
      <c r="G59">
        <v>33</v>
      </c>
      <c r="H59">
        <v>3.5</v>
      </c>
      <c r="I59">
        <v>18</v>
      </c>
      <c r="J59">
        <v>0</v>
      </c>
      <c r="K59">
        <v>45</v>
      </c>
      <c r="L59">
        <v>16</v>
      </c>
      <c r="M59">
        <v>990</v>
      </c>
      <c r="N59">
        <v>41</v>
      </c>
      <c r="O59">
        <v>55</v>
      </c>
      <c r="P59">
        <v>18</v>
      </c>
      <c r="Q59">
        <v>3</v>
      </c>
      <c r="R59">
        <v>13</v>
      </c>
      <c r="S59">
        <v>10</v>
      </c>
      <c r="T59">
        <v>24</v>
      </c>
      <c r="U59">
        <v>4</v>
      </c>
      <c r="V59">
        <v>6</v>
      </c>
      <c r="W59">
        <v>15</v>
      </c>
      <c r="X59">
        <v>20</v>
      </c>
    </row>
    <row r="60" spans="1:24" x14ac:dyDescent="0.3">
      <c r="A60" t="s">
        <v>131</v>
      </c>
      <c r="B60" t="s">
        <v>134</v>
      </c>
      <c r="C60" t="s">
        <v>135</v>
      </c>
      <c r="D60">
        <v>350</v>
      </c>
      <c r="E60">
        <v>80</v>
      </c>
      <c r="F60">
        <v>9</v>
      </c>
      <c r="G60">
        <v>13</v>
      </c>
      <c r="H60">
        <v>2</v>
      </c>
      <c r="I60">
        <v>9</v>
      </c>
      <c r="J60">
        <v>0</v>
      </c>
      <c r="K60">
        <v>65</v>
      </c>
      <c r="L60">
        <v>22</v>
      </c>
      <c r="M60">
        <v>820</v>
      </c>
      <c r="N60">
        <v>34</v>
      </c>
      <c r="O60">
        <v>42</v>
      </c>
      <c r="P60">
        <v>14</v>
      </c>
      <c r="Q60">
        <v>3</v>
      </c>
      <c r="R60">
        <v>13</v>
      </c>
      <c r="S60">
        <v>8</v>
      </c>
      <c r="T60">
        <v>28</v>
      </c>
      <c r="U60">
        <v>4</v>
      </c>
      <c r="V60">
        <v>8</v>
      </c>
      <c r="W60">
        <v>15</v>
      </c>
      <c r="X60">
        <v>20</v>
      </c>
    </row>
    <row r="61" spans="1:24" x14ac:dyDescent="0.3">
      <c r="A61" t="s">
        <v>131</v>
      </c>
      <c r="B61" t="s">
        <v>136</v>
      </c>
      <c r="C61" t="s">
        <v>137</v>
      </c>
      <c r="D61">
        <v>670</v>
      </c>
      <c r="E61">
        <v>300</v>
      </c>
      <c r="F61">
        <v>33</v>
      </c>
      <c r="G61">
        <v>51</v>
      </c>
      <c r="H61">
        <v>9</v>
      </c>
      <c r="I61">
        <v>44</v>
      </c>
      <c r="J61">
        <v>0</v>
      </c>
      <c r="K61">
        <v>85</v>
      </c>
      <c r="L61">
        <v>29</v>
      </c>
      <c r="M61">
        <v>1410</v>
      </c>
      <c r="N61">
        <v>59</v>
      </c>
      <c r="O61">
        <v>58</v>
      </c>
      <c r="P61">
        <v>19</v>
      </c>
      <c r="Q61">
        <v>3</v>
      </c>
      <c r="R61">
        <v>14</v>
      </c>
      <c r="S61">
        <v>11</v>
      </c>
      <c r="T61">
        <v>36</v>
      </c>
      <c r="U61">
        <v>8</v>
      </c>
      <c r="V61">
        <v>20</v>
      </c>
      <c r="W61">
        <v>30</v>
      </c>
      <c r="X61">
        <v>20</v>
      </c>
    </row>
    <row r="62" spans="1:24" x14ac:dyDescent="0.3">
      <c r="A62" t="s">
        <v>131</v>
      </c>
      <c r="B62" t="s">
        <v>138</v>
      </c>
      <c r="C62" t="s">
        <v>111</v>
      </c>
      <c r="D62">
        <v>510</v>
      </c>
      <c r="E62">
        <v>180</v>
      </c>
      <c r="F62">
        <v>20</v>
      </c>
      <c r="G62">
        <v>31</v>
      </c>
      <c r="H62">
        <v>7</v>
      </c>
      <c r="I62">
        <v>36</v>
      </c>
      <c r="J62">
        <v>0</v>
      </c>
      <c r="K62">
        <v>105</v>
      </c>
      <c r="L62">
        <v>35</v>
      </c>
      <c r="M62">
        <v>1250</v>
      </c>
      <c r="N62">
        <v>52</v>
      </c>
      <c r="O62">
        <v>44</v>
      </c>
      <c r="P62">
        <v>15</v>
      </c>
      <c r="Q62">
        <v>3</v>
      </c>
      <c r="R62">
        <v>13</v>
      </c>
      <c r="S62">
        <v>9</v>
      </c>
      <c r="T62">
        <v>40</v>
      </c>
      <c r="U62">
        <v>8</v>
      </c>
      <c r="V62">
        <v>20</v>
      </c>
      <c r="W62">
        <v>30</v>
      </c>
      <c r="X62">
        <v>20</v>
      </c>
    </row>
    <row r="63" spans="1:24" x14ac:dyDescent="0.3">
      <c r="A63" t="s">
        <v>131</v>
      </c>
      <c r="B63" t="s">
        <v>139</v>
      </c>
      <c r="C63" t="s">
        <v>140</v>
      </c>
      <c r="D63">
        <v>610</v>
      </c>
      <c r="E63">
        <v>250</v>
      </c>
      <c r="F63">
        <v>28</v>
      </c>
      <c r="G63">
        <v>43</v>
      </c>
      <c r="H63">
        <v>6</v>
      </c>
      <c r="I63">
        <v>31</v>
      </c>
      <c r="J63">
        <v>0</v>
      </c>
      <c r="K63">
        <v>70</v>
      </c>
      <c r="L63">
        <v>24</v>
      </c>
      <c r="M63">
        <v>1400</v>
      </c>
      <c r="N63">
        <v>58</v>
      </c>
      <c r="O63">
        <v>57</v>
      </c>
      <c r="P63">
        <v>19</v>
      </c>
      <c r="Q63">
        <v>3</v>
      </c>
      <c r="R63">
        <v>13</v>
      </c>
      <c r="S63">
        <v>11</v>
      </c>
      <c r="T63">
        <v>32</v>
      </c>
      <c r="U63">
        <v>4</v>
      </c>
      <c r="V63">
        <v>20</v>
      </c>
      <c r="W63">
        <v>15</v>
      </c>
      <c r="X63">
        <v>20</v>
      </c>
    </row>
    <row r="64" spans="1:24" x14ac:dyDescent="0.3">
      <c r="A64" t="s">
        <v>131</v>
      </c>
      <c r="B64" t="s">
        <v>141</v>
      </c>
      <c r="C64" t="s">
        <v>142</v>
      </c>
      <c r="D64">
        <v>450</v>
      </c>
      <c r="E64">
        <v>130</v>
      </c>
      <c r="F64">
        <v>15</v>
      </c>
      <c r="G64">
        <v>23</v>
      </c>
      <c r="H64">
        <v>4.5</v>
      </c>
      <c r="I64">
        <v>22</v>
      </c>
      <c r="J64">
        <v>0</v>
      </c>
      <c r="K64">
        <v>90</v>
      </c>
      <c r="L64">
        <v>30</v>
      </c>
      <c r="M64">
        <v>1230</v>
      </c>
      <c r="N64">
        <v>51</v>
      </c>
      <c r="O64">
        <v>43</v>
      </c>
      <c r="P64">
        <v>14</v>
      </c>
      <c r="Q64">
        <v>3</v>
      </c>
      <c r="R64">
        <v>13</v>
      </c>
      <c r="S64">
        <v>9</v>
      </c>
      <c r="T64">
        <v>36</v>
      </c>
      <c r="U64">
        <v>4</v>
      </c>
      <c r="V64">
        <v>20</v>
      </c>
      <c r="W64">
        <v>15</v>
      </c>
      <c r="X64">
        <v>20</v>
      </c>
    </row>
    <row r="65" spans="1:24" x14ac:dyDescent="0.3">
      <c r="A65" t="s">
        <v>131</v>
      </c>
      <c r="B65" t="s">
        <v>143</v>
      </c>
      <c r="C65" t="s">
        <v>144</v>
      </c>
      <c r="D65">
        <v>750</v>
      </c>
      <c r="E65">
        <v>340</v>
      </c>
      <c r="F65">
        <v>38</v>
      </c>
      <c r="G65">
        <v>59</v>
      </c>
      <c r="H65">
        <v>10</v>
      </c>
      <c r="I65">
        <v>51</v>
      </c>
      <c r="J65">
        <v>0.5</v>
      </c>
      <c r="K65">
        <v>90</v>
      </c>
      <c r="L65">
        <v>31</v>
      </c>
      <c r="M65">
        <v>1720</v>
      </c>
      <c r="N65">
        <v>72</v>
      </c>
      <c r="O65">
        <v>65</v>
      </c>
      <c r="P65">
        <v>22</v>
      </c>
      <c r="Q65">
        <v>4</v>
      </c>
      <c r="R65">
        <v>15</v>
      </c>
      <c r="S65">
        <v>16</v>
      </c>
      <c r="T65">
        <v>36</v>
      </c>
      <c r="U65">
        <v>8</v>
      </c>
      <c r="V65">
        <v>25</v>
      </c>
      <c r="W65">
        <v>30</v>
      </c>
      <c r="X65">
        <v>15</v>
      </c>
    </row>
    <row r="66" spans="1:24" x14ac:dyDescent="0.3">
      <c r="A66" t="s">
        <v>131</v>
      </c>
      <c r="B66" t="s">
        <v>145</v>
      </c>
      <c r="C66" t="s">
        <v>121</v>
      </c>
      <c r="D66">
        <v>590</v>
      </c>
      <c r="E66">
        <v>230</v>
      </c>
      <c r="F66">
        <v>25</v>
      </c>
      <c r="G66">
        <v>39</v>
      </c>
      <c r="H66">
        <v>8</v>
      </c>
      <c r="I66">
        <v>42</v>
      </c>
      <c r="J66">
        <v>0</v>
      </c>
      <c r="K66">
        <v>110</v>
      </c>
      <c r="L66">
        <v>37</v>
      </c>
      <c r="M66">
        <v>1560</v>
      </c>
      <c r="N66">
        <v>65</v>
      </c>
      <c r="O66">
        <v>51</v>
      </c>
      <c r="P66">
        <v>17</v>
      </c>
      <c r="Q66">
        <v>4</v>
      </c>
      <c r="R66">
        <v>15</v>
      </c>
      <c r="S66">
        <v>14</v>
      </c>
      <c r="T66">
        <v>40</v>
      </c>
      <c r="U66">
        <v>8</v>
      </c>
      <c r="V66">
        <v>30</v>
      </c>
      <c r="W66">
        <v>30</v>
      </c>
      <c r="X66">
        <v>15</v>
      </c>
    </row>
    <row r="67" spans="1:24" x14ac:dyDescent="0.3">
      <c r="A67" t="s">
        <v>131</v>
      </c>
      <c r="B67" t="s">
        <v>146</v>
      </c>
      <c r="C67" t="s">
        <v>147</v>
      </c>
      <c r="D67">
        <v>430</v>
      </c>
      <c r="E67">
        <v>170</v>
      </c>
      <c r="F67">
        <v>19</v>
      </c>
      <c r="G67">
        <v>29</v>
      </c>
      <c r="H67">
        <v>3</v>
      </c>
      <c r="I67">
        <v>15</v>
      </c>
      <c r="J67">
        <v>0</v>
      </c>
      <c r="K67">
        <v>45</v>
      </c>
      <c r="L67">
        <v>14</v>
      </c>
      <c r="M67">
        <v>910</v>
      </c>
      <c r="N67">
        <v>38</v>
      </c>
      <c r="O67">
        <v>43</v>
      </c>
      <c r="P67">
        <v>14</v>
      </c>
      <c r="Q67">
        <v>2</v>
      </c>
      <c r="R67">
        <v>7</v>
      </c>
      <c r="S67">
        <v>7</v>
      </c>
      <c r="T67">
        <v>21</v>
      </c>
      <c r="U67">
        <v>4</v>
      </c>
      <c r="V67">
        <v>2</v>
      </c>
      <c r="W67">
        <v>15</v>
      </c>
      <c r="X67">
        <v>15</v>
      </c>
    </row>
    <row r="68" spans="1:24" x14ac:dyDescent="0.3">
      <c r="A68" t="s">
        <v>131</v>
      </c>
      <c r="B68" t="s">
        <v>148</v>
      </c>
      <c r="C68" t="s">
        <v>149</v>
      </c>
      <c r="D68">
        <v>360</v>
      </c>
      <c r="E68">
        <v>140</v>
      </c>
      <c r="F68">
        <v>16</v>
      </c>
      <c r="G68">
        <v>25</v>
      </c>
      <c r="H68">
        <v>3</v>
      </c>
      <c r="I68">
        <v>15</v>
      </c>
      <c r="J68">
        <v>0</v>
      </c>
      <c r="K68">
        <v>35</v>
      </c>
      <c r="L68">
        <v>11</v>
      </c>
      <c r="M68">
        <v>800</v>
      </c>
      <c r="N68">
        <v>33</v>
      </c>
      <c r="O68">
        <v>40</v>
      </c>
      <c r="P68">
        <v>13</v>
      </c>
      <c r="Q68">
        <v>2</v>
      </c>
      <c r="R68">
        <v>7</v>
      </c>
      <c r="S68">
        <v>5</v>
      </c>
      <c r="T68">
        <v>14</v>
      </c>
      <c r="U68">
        <v>0</v>
      </c>
      <c r="V68">
        <v>2</v>
      </c>
      <c r="W68">
        <v>10</v>
      </c>
      <c r="X68">
        <v>15</v>
      </c>
    </row>
    <row r="69" spans="1:24" x14ac:dyDescent="0.3">
      <c r="A69" t="s">
        <v>131</v>
      </c>
      <c r="B69" t="s">
        <v>150</v>
      </c>
      <c r="C69" t="s">
        <v>151</v>
      </c>
      <c r="D69">
        <v>480</v>
      </c>
      <c r="E69">
        <v>220</v>
      </c>
      <c r="F69">
        <v>24</v>
      </c>
      <c r="G69">
        <v>38</v>
      </c>
      <c r="H69">
        <v>7</v>
      </c>
      <c r="I69">
        <v>35</v>
      </c>
      <c r="J69">
        <v>0</v>
      </c>
      <c r="K69">
        <v>65</v>
      </c>
      <c r="L69">
        <v>21</v>
      </c>
      <c r="M69">
        <v>1260</v>
      </c>
      <c r="N69">
        <v>53</v>
      </c>
      <c r="O69">
        <v>43</v>
      </c>
      <c r="P69">
        <v>14</v>
      </c>
      <c r="Q69">
        <v>2</v>
      </c>
      <c r="R69">
        <v>8</v>
      </c>
      <c r="S69">
        <v>6</v>
      </c>
      <c r="T69">
        <v>22</v>
      </c>
      <c r="U69">
        <v>4</v>
      </c>
      <c r="V69">
        <v>10</v>
      </c>
      <c r="W69">
        <v>20</v>
      </c>
      <c r="X69">
        <v>15</v>
      </c>
    </row>
    <row r="70" spans="1:24" x14ac:dyDescent="0.3">
      <c r="A70" t="s">
        <v>131</v>
      </c>
      <c r="B70" t="s">
        <v>152</v>
      </c>
      <c r="C70" t="s">
        <v>32</v>
      </c>
      <c r="D70">
        <v>430</v>
      </c>
      <c r="E70">
        <v>190</v>
      </c>
      <c r="F70">
        <v>21</v>
      </c>
      <c r="G70">
        <v>32</v>
      </c>
      <c r="H70">
        <v>5</v>
      </c>
      <c r="I70">
        <v>25</v>
      </c>
      <c r="J70">
        <v>0</v>
      </c>
      <c r="K70">
        <v>50</v>
      </c>
      <c r="L70">
        <v>17</v>
      </c>
      <c r="M70">
        <v>1260</v>
      </c>
      <c r="N70">
        <v>53</v>
      </c>
      <c r="O70">
        <v>41</v>
      </c>
      <c r="P70">
        <v>14</v>
      </c>
      <c r="Q70">
        <v>2</v>
      </c>
      <c r="R70">
        <v>7</v>
      </c>
      <c r="S70">
        <v>6</v>
      </c>
      <c r="T70">
        <v>20</v>
      </c>
      <c r="U70">
        <v>2</v>
      </c>
      <c r="V70">
        <v>10</v>
      </c>
      <c r="W70">
        <v>15</v>
      </c>
      <c r="X70">
        <v>15</v>
      </c>
    </row>
    <row r="71" spans="1:24" x14ac:dyDescent="0.3">
      <c r="A71" t="s">
        <v>131</v>
      </c>
      <c r="B71" t="s">
        <v>153</v>
      </c>
      <c r="C71" t="s">
        <v>154</v>
      </c>
      <c r="D71">
        <v>360</v>
      </c>
      <c r="E71">
        <v>150</v>
      </c>
      <c r="F71">
        <v>16</v>
      </c>
      <c r="G71">
        <v>25</v>
      </c>
      <c r="H71">
        <v>3</v>
      </c>
      <c r="I71">
        <v>16</v>
      </c>
      <c r="J71">
        <v>0</v>
      </c>
      <c r="K71">
        <v>35</v>
      </c>
      <c r="L71">
        <v>11</v>
      </c>
      <c r="M71">
        <v>990</v>
      </c>
      <c r="N71">
        <v>41</v>
      </c>
      <c r="O71">
        <v>40</v>
      </c>
      <c r="P71">
        <v>13</v>
      </c>
      <c r="Q71">
        <v>2</v>
      </c>
      <c r="R71">
        <v>7</v>
      </c>
      <c r="S71">
        <v>5</v>
      </c>
      <c r="T71">
        <v>14</v>
      </c>
      <c r="U71">
        <v>2</v>
      </c>
      <c r="V71">
        <v>2</v>
      </c>
      <c r="W71">
        <v>15</v>
      </c>
      <c r="X71">
        <v>15</v>
      </c>
    </row>
    <row r="72" spans="1:24" x14ac:dyDescent="0.3">
      <c r="A72" t="s">
        <v>131</v>
      </c>
      <c r="B72" t="s">
        <v>155</v>
      </c>
      <c r="C72" t="s">
        <v>156</v>
      </c>
      <c r="D72">
        <v>630</v>
      </c>
      <c r="E72">
        <v>280</v>
      </c>
      <c r="F72">
        <v>32</v>
      </c>
      <c r="G72">
        <v>49</v>
      </c>
      <c r="H72">
        <v>9</v>
      </c>
      <c r="I72">
        <v>45</v>
      </c>
      <c r="J72">
        <v>0.5</v>
      </c>
      <c r="K72">
        <v>80</v>
      </c>
      <c r="L72">
        <v>26</v>
      </c>
      <c r="M72">
        <v>1540</v>
      </c>
      <c r="N72">
        <v>64</v>
      </c>
      <c r="O72">
        <v>56</v>
      </c>
      <c r="P72">
        <v>19</v>
      </c>
      <c r="Q72">
        <v>3</v>
      </c>
      <c r="R72">
        <v>13</v>
      </c>
      <c r="S72">
        <v>7</v>
      </c>
      <c r="T72">
        <v>32</v>
      </c>
      <c r="U72">
        <v>60</v>
      </c>
      <c r="V72">
        <v>20</v>
      </c>
      <c r="W72">
        <v>20</v>
      </c>
      <c r="X72">
        <v>20</v>
      </c>
    </row>
    <row r="73" spans="1:24" x14ac:dyDescent="0.3">
      <c r="A73" t="s">
        <v>131</v>
      </c>
      <c r="B73" t="s">
        <v>157</v>
      </c>
      <c r="C73" t="s">
        <v>158</v>
      </c>
      <c r="D73">
        <v>480</v>
      </c>
      <c r="E73">
        <v>170</v>
      </c>
      <c r="F73">
        <v>19</v>
      </c>
      <c r="G73">
        <v>28</v>
      </c>
      <c r="H73">
        <v>7</v>
      </c>
      <c r="I73">
        <v>36</v>
      </c>
      <c r="J73">
        <v>0</v>
      </c>
      <c r="K73">
        <v>95</v>
      </c>
      <c r="L73">
        <v>32</v>
      </c>
      <c r="M73">
        <v>1370</v>
      </c>
      <c r="N73">
        <v>57</v>
      </c>
      <c r="O73">
        <v>42</v>
      </c>
      <c r="P73">
        <v>14</v>
      </c>
      <c r="Q73">
        <v>3</v>
      </c>
      <c r="R73">
        <v>13</v>
      </c>
      <c r="S73">
        <v>6</v>
      </c>
      <c r="T73">
        <v>36</v>
      </c>
      <c r="U73">
        <v>60</v>
      </c>
      <c r="V73">
        <v>25</v>
      </c>
      <c r="W73">
        <v>20</v>
      </c>
      <c r="X73">
        <v>20</v>
      </c>
    </row>
    <row r="74" spans="1:24" x14ac:dyDescent="0.3">
      <c r="A74" t="s">
        <v>131</v>
      </c>
      <c r="B74" t="s">
        <v>159</v>
      </c>
      <c r="C74" t="s">
        <v>160</v>
      </c>
      <c r="D74">
        <v>610</v>
      </c>
      <c r="E74">
        <v>280</v>
      </c>
      <c r="F74">
        <v>31</v>
      </c>
      <c r="G74">
        <v>47</v>
      </c>
      <c r="H74">
        <v>8</v>
      </c>
      <c r="I74">
        <v>40</v>
      </c>
      <c r="J74">
        <v>0.5</v>
      </c>
      <c r="K74">
        <v>65</v>
      </c>
      <c r="L74">
        <v>21</v>
      </c>
      <c r="M74">
        <v>1340</v>
      </c>
      <c r="N74">
        <v>56</v>
      </c>
      <c r="O74">
        <v>56</v>
      </c>
      <c r="P74">
        <v>19</v>
      </c>
      <c r="Q74">
        <v>3</v>
      </c>
      <c r="R74">
        <v>14</v>
      </c>
      <c r="S74">
        <v>8</v>
      </c>
      <c r="T74">
        <v>27</v>
      </c>
      <c r="U74">
        <v>60</v>
      </c>
      <c r="V74">
        <v>15</v>
      </c>
      <c r="W74">
        <v>20</v>
      </c>
      <c r="X74">
        <v>20</v>
      </c>
    </row>
    <row r="75" spans="1:24" x14ac:dyDescent="0.3">
      <c r="A75" t="s">
        <v>131</v>
      </c>
      <c r="B75" t="s">
        <v>161</v>
      </c>
      <c r="C75" t="s">
        <v>162</v>
      </c>
      <c r="D75">
        <v>450</v>
      </c>
      <c r="E75">
        <v>160</v>
      </c>
      <c r="F75">
        <v>18</v>
      </c>
      <c r="G75">
        <v>27</v>
      </c>
      <c r="H75">
        <v>6</v>
      </c>
      <c r="I75">
        <v>31</v>
      </c>
      <c r="J75">
        <v>0.5</v>
      </c>
      <c r="K75">
        <v>80</v>
      </c>
      <c r="L75">
        <v>27</v>
      </c>
      <c r="M75">
        <v>1170</v>
      </c>
      <c r="N75">
        <v>49</v>
      </c>
      <c r="O75">
        <v>42</v>
      </c>
      <c r="P75">
        <v>14</v>
      </c>
      <c r="Q75">
        <v>3</v>
      </c>
      <c r="R75">
        <v>14</v>
      </c>
      <c r="S75">
        <v>6</v>
      </c>
      <c r="T75">
        <v>30</v>
      </c>
      <c r="U75">
        <v>60</v>
      </c>
      <c r="V75">
        <v>15</v>
      </c>
      <c r="W75">
        <v>15</v>
      </c>
      <c r="X75">
        <v>20</v>
      </c>
    </row>
    <row r="76" spans="1:24" x14ac:dyDescent="0.3">
      <c r="A76" t="s">
        <v>131</v>
      </c>
      <c r="B76" t="s">
        <v>163</v>
      </c>
      <c r="C76" t="s">
        <v>164</v>
      </c>
      <c r="D76">
        <v>670</v>
      </c>
      <c r="E76">
        <v>300</v>
      </c>
      <c r="F76">
        <v>33</v>
      </c>
      <c r="G76">
        <v>51</v>
      </c>
      <c r="H76">
        <v>8</v>
      </c>
      <c r="I76">
        <v>40</v>
      </c>
      <c r="J76">
        <v>0.5</v>
      </c>
      <c r="K76">
        <v>60</v>
      </c>
      <c r="L76">
        <v>21</v>
      </c>
      <c r="M76">
        <v>1480</v>
      </c>
      <c r="N76">
        <v>62</v>
      </c>
      <c r="O76">
        <v>68</v>
      </c>
      <c r="P76">
        <v>23</v>
      </c>
      <c r="Q76">
        <v>5</v>
      </c>
      <c r="R76">
        <v>19</v>
      </c>
      <c r="S76">
        <v>12</v>
      </c>
      <c r="T76">
        <v>27</v>
      </c>
      <c r="U76">
        <v>60</v>
      </c>
      <c r="V76">
        <v>15</v>
      </c>
      <c r="W76">
        <v>20</v>
      </c>
      <c r="X76">
        <v>20</v>
      </c>
    </row>
    <row r="77" spans="1:24" x14ac:dyDescent="0.3">
      <c r="A77" t="s">
        <v>131</v>
      </c>
      <c r="B77" t="s">
        <v>165</v>
      </c>
      <c r="C77" t="s">
        <v>166</v>
      </c>
      <c r="D77">
        <v>520</v>
      </c>
      <c r="E77">
        <v>180</v>
      </c>
      <c r="F77">
        <v>20</v>
      </c>
      <c r="G77">
        <v>31</v>
      </c>
      <c r="H77">
        <v>6</v>
      </c>
      <c r="I77">
        <v>32</v>
      </c>
      <c r="J77">
        <v>0</v>
      </c>
      <c r="K77">
        <v>80</v>
      </c>
      <c r="L77">
        <v>27</v>
      </c>
      <c r="M77">
        <v>1320</v>
      </c>
      <c r="N77">
        <v>55</v>
      </c>
      <c r="O77">
        <v>55</v>
      </c>
      <c r="P77">
        <v>18</v>
      </c>
      <c r="Q77">
        <v>5</v>
      </c>
      <c r="R77">
        <v>20</v>
      </c>
      <c r="S77">
        <v>10</v>
      </c>
      <c r="T77">
        <v>31</v>
      </c>
      <c r="U77">
        <v>70</v>
      </c>
      <c r="V77">
        <v>15</v>
      </c>
      <c r="W77">
        <v>20</v>
      </c>
      <c r="X77">
        <v>20</v>
      </c>
    </row>
    <row r="78" spans="1:24" x14ac:dyDescent="0.3">
      <c r="A78" t="s">
        <v>131</v>
      </c>
      <c r="B78" t="s">
        <v>167</v>
      </c>
      <c r="C78" t="s">
        <v>168</v>
      </c>
      <c r="D78">
        <v>540</v>
      </c>
      <c r="E78">
        <v>200</v>
      </c>
      <c r="F78">
        <v>23</v>
      </c>
      <c r="G78">
        <v>35</v>
      </c>
      <c r="H78">
        <v>4.5</v>
      </c>
      <c r="I78">
        <v>23</v>
      </c>
      <c r="J78">
        <v>0</v>
      </c>
      <c r="K78">
        <v>50</v>
      </c>
      <c r="L78">
        <v>16</v>
      </c>
      <c r="M78">
        <v>1260</v>
      </c>
      <c r="N78">
        <v>52</v>
      </c>
      <c r="O78">
        <v>61</v>
      </c>
      <c r="P78">
        <v>20</v>
      </c>
      <c r="Q78">
        <v>3</v>
      </c>
      <c r="R78">
        <v>13</v>
      </c>
      <c r="S78">
        <v>14</v>
      </c>
      <c r="T78">
        <v>23</v>
      </c>
      <c r="U78">
        <v>60</v>
      </c>
      <c r="V78">
        <v>15</v>
      </c>
      <c r="W78">
        <v>8</v>
      </c>
      <c r="X78">
        <v>20</v>
      </c>
    </row>
    <row r="79" spans="1:24" x14ac:dyDescent="0.3">
      <c r="A79" t="s">
        <v>131</v>
      </c>
      <c r="B79" t="s">
        <v>169</v>
      </c>
      <c r="C79" t="s">
        <v>170</v>
      </c>
      <c r="D79">
        <v>380</v>
      </c>
      <c r="E79">
        <v>90</v>
      </c>
      <c r="F79">
        <v>10</v>
      </c>
      <c r="G79">
        <v>15</v>
      </c>
      <c r="H79">
        <v>3</v>
      </c>
      <c r="I79">
        <v>14</v>
      </c>
      <c r="J79">
        <v>0</v>
      </c>
      <c r="K79">
        <v>65</v>
      </c>
      <c r="L79">
        <v>22</v>
      </c>
      <c r="M79">
        <v>1090</v>
      </c>
      <c r="N79">
        <v>45</v>
      </c>
      <c r="O79">
        <v>47</v>
      </c>
      <c r="P79">
        <v>16</v>
      </c>
      <c r="Q79">
        <v>3</v>
      </c>
      <c r="R79">
        <v>13</v>
      </c>
      <c r="S79">
        <v>12</v>
      </c>
      <c r="T79">
        <v>27</v>
      </c>
      <c r="U79">
        <v>60</v>
      </c>
      <c r="V79">
        <v>15</v>
      </c>
      <c r="W79">
        <v>8</v>
      </c>
      <c r="X79">
        <v>20</v>
      </c>
    </row>
    <row r="80" spans="1:24" x14ac:dyDescent="0.3">
      <c r="A80" t="s">
        <v>131</v>
      </c>
      <c r="B80" t="s">
        <v>171</v>
      </c>
      <c r="C80" t="s">
        <v>172</v>
      </c>
      <c r="D80">
        <v>190</v>
      </c>
      <c r="E80">
        <v>110</v>
      </c>
      <c r="F80">
        <v>12</v>
      </c>
      <c r="G80">
        <v>18</v>
      </c>
      <c r="H80">
        <v>2</v>
      </c>
      <c r="I80">
        <v>10</v>
      </c>
      <c r="J80">
        <v>0</v>
      </c>
      <c r="K80">
        <v>25</v>
      </c>
      <c r="L80">
        <v>9</v>
      </c>
      <c r="M80">
        <v>360</v>
      </c>
      <c r="N80">
        <v>15</v>
      </c>
      <c r="O80">
        <v>12</v>
      </c>
      <c r="P80">
        <v>4</v>
      </c>
      <c r="Q80">
        <v>1</v>
      </c>
      <c r="R80">
        <v>2</v>
      </c>
      <c r="S80">
        <v>0</v>
      </c>
      <c r="T80">
        <v>9</v>
      </c>
      <c r="U80">
        <v>0</v>
      </c>
      <c r="V80">
        <v>2</v>
      </c>
      <c r="W80">
        <v>0</v>
      </c>
      <c r="X80">
        <v>2</v>
      </c>
    </row>
    <row r="81" spans="1:24" x14ac:dyDescent="0.3">
      <c r="A81" t="s">
        <v>131</v>
      </c>
      <c r="B81" t="s">
        <v>173</v>
      </c>
      <c r="C81" t="s">
        <v>174</v>
      </c>
      <c r="D81">
        <v>280</v>
      </c>
      <c r="E81">
        <v>160</v>
      </c>
      <c r="F81">
        <v>18</v>
      </c>
      <c r="G81">
        <v>27</v>
      </c>
      <c r="H81">
        <v>3</v>
      </c>
      <c r="I81">
        <v>15</v>
      </c>
      <c r="J81">
        <v>0</v>
      </c>
      <c r="K81">
        <v>40</v>
      </c>
      <c r="L81">
        <v>13</v>
      </c>
      <c r="M81">
        <v>540</v>
      </c>
      <c r="N81">
        <v>22</v>
      </c>
      <c r="O81">
        <v>18</v>
      </c>
      <c r="P81">
        <v>6</v>
      </c>
      <c r="Q81">
        <v>1</v>
      </c>
      <c r="R81">
        <v>4</v>
      </c>
      <c r="S81">
        <v>0</v>
      </c>
      <c r="T81">
        <v>13</v>
      </c>
      <c r="U81">
        <v>0</v>
      </c>
      <c r="V81">
        <v>2</v>
      </c>
      <c r="W81">
        <v>2</v>
      </c>
      <c r="X81">
        <v>4</v>
      </c>
    </row>
    <row r="82" spans="1:24" x14ac:dyDescent="0.3">
      <c r="A82" t="s">
        <v>131</v>
      </c>
      <c r="B82" t="s">
        <v>175</v>
      </c>
      <c r="C82" t="s">
        <v>176</v>
      </c>
      <c r="D82">
        <v>470</v>
      </c>
      <c r="E82">
        <v>270</v>
      </c>
      <c r="F82">
        <v>30</v>
      </c>
      <c r="G82">
        <v>45</v>
      </c>
      <c r="H82">
        <v>5</v>
      </c>
      <c r="I82">
        <v>25</v>
      </c>
      <c r="J82">
        <v>0</v>
      </c>
      <c r="K82">
        <v>65</v>
      </c>
      <c r="L82">
        <v>22</v>
      </c>
      <c r="M82">
        <v>900</v>
      </c>
      <c r="N82">
        <v>37</v>
      </c>
      <c r="O82">
        <v>30</v>
      </c>
      <c r="P82">
        <v>10</v>
      </c>
      <c r="Q82">
        <v>2</v>
      </c>
      <c r="R82">
        <v>6</v>
      </c>
      <c r="S82">
        <v>0</v>
      </c>
      <c r="T82">
        <v>22</v>
      </c>
      <c r="U82">
        <v>0</v>
      </c>
      <c r="V82">
        <v>4</v>
      </c>
      <c r="W82">
        <v>2</v>
      </c>
      <c r="X82">
        <v>6</v>
      </c>
    </row>
    <row r="83" spans="1:24" x14ac:dyDescent="0.3">
      <c r="A83" t="s">
        <v>131</v>
      </c>
      <c r="B83" t="s">
        <v>177</v>
      </c>
      <c r="C83" t="s">
        <v>178</v>
      </c>
      <c r="D83">
        <v>940</v>
      </c>
      <c r="E83">
        <v>530</v>
      </c>
      <c r="F83">
        <v>59</v>
      </c>
      <c r="G83">
        <v>91</v>
      </c>
      <c r="H83">
        <v>10</v>
      </c>
      <c r="I83">
        <v>50</v>
      </c>
      <c r="J83">
        <v>0</v>
      </c>
      <c r="K83">
        <v>135</v>
      </c>
      <c r="L83">
        <v>44</v>
      </c>
      <c r="M83">
        <v>1800</v>
      </c>
      <c r="N83">
        <v>75</v>
      </c>
      <c r="O83">
        <v>59</v>
      </c>
      <c r="P83">
        <v>20</v>
      </c>
      <c r="Q83">
        <v>3</v>
      </c>
      <c r="R83">
        <v>12</v>
      </c>
      <c r="S83">
        <v>0</v>
      </c>
      <c r="T83">
        <v>44</v>
      </c>
      <c r="U83">
        <v>0</v>
      </c>
      <c r="V83">
        <v>8</v>
      </c>
      <c r="W83">
        <v>4</v>
      </c>
      <c r="X83">
        <v>10</v>
      </c>
    </row>
    <row r="84" spans="1:24" x14ac:dyDescent="0.3">
      <c r="A84" t="s">
        <v>131</v>
      </c>
      <c r="B84" t="s">
        <v>179</v>
      </c>
      <c r="C84" t="s">
        <v>180</v>
      </c>
      <c r="D84">
        <v>1880</v>
      </c>
      <c r="E84">
        <v>1060</v>
      </c>
      <c r="F84">
        <v>118</v>
      </c>
      <c r="G84">
        <v>182</v>
      </c>
      <c r="H84">
        <v>20</v>
      </c>
      <c r="I84">
        <v>101</v>
      </c>
      <c r="J84">
        <v>1</v>
      </c>
      <c r="K84">
        <v>265</v>
      </c>
      <c r="L84">
        <v>89</v>
      </c>
      <c r="M84">
        <v>3600</v>
      </c>
      <c r="N84">
        <v>150</v>
      </c>
      <c r="O84">
        <v>118</v>
      </c>
      <c r="P84">
        <v>39</v>
      </c>
      <c r="Q84">
        <v>6</v>
      </c>
      <c r="R84">
        <v>24</v>
      </c>
      <c r="S84">
        <v>1</v>
      </c>
      <c r="T84">
        <v>87</v>
      </c>
      <c r="U84">
        <v>0</v>
      </c>
      <c r="V84">
        <v>15</v>
      </c>
      <c r="W84">
        <v>8</v>
      </c>
      <c r="X84">
        <v>25</v>
      </c>
    </row>
    <row r="85" spans="1:24" x14ac:dyDescent="0.3">
      <c r="A85" t="s">
        <v>131</v>
      </c>
      <c r="B85" t="s">
        <v>181</v>
      </c>
      <c r="C85" t="s">
        <v>182</v>
      </c>
      <c r="D85">
        <v>390</v>
      </c>
      <c r="E85">
        <v>170</v>
      </c>
      <c r="F85">
        <v>19</v>
      </c>
      <c r="G85">
        <v>29</v>
      </c>
      <c r="H85">
        <v>4</v>
      </c>
      <c r="I85">
        <v>19</v>
      </c>
      <c r="J85">
        <v>0</v>
      </c>
      <c r="K85">
        <v>40</v>
      </c>
      <c r="L85">
        <v>14</v>
      </c>
      <c r="M85">
        <v>590</v>
      </c>
      <c r="N85">
        <v>24</v>
      </c>
      <c r="O85">
        <v>39</v>
      </c>
      <c r="P85">
        <v>13</v>
      </c>
      <c r="Q85">
        <v>2</v>
      </c>
      <c r="R85">
        <v>7</v>
      </c>
      <c r="S85">
        <v>5</v>
      </c>
      <c r="T85">
        <v>15</v>
      </c>
      <c r="U85">
        <v>2</v>
      </c>
      <c r="V85">
        <v>0</v>
      </c>
      <c r="W85">
        <v>15</v>
      </c>
      <c r="X85">
        <v>10</v>
      </c>
    </row>
    <row r="86" spans="1:24" x14ac:dyDescent="0.3">
      <c r="A86" t="s">
        <v>183</v>
      </c>
      <c r="B86" t="s">
        <v>184</v>
      </c>
      <c r="C86" t="s">
        <v>185</v>
      </c>
      <c r="D86">
        <v>140</v>
      </c>
      <c r="E86">
        <v>70</v>
      </c>
      <c r="F86">
        <v>7</v>
      </c>
      <c r="G86">
        <v>11</v>
      </c>
      <c r="H86">
        <v>3.5</v>
      </c>
      <c r="I86">
        <v>18</v>
      </c>
      <c r="J86">
        <v>0</v>
      </c>
      <c r="K86">
        <v>25</v>
      </c>
      <c r="L86">
        <v>9</v>
      </c>
      <c r="M86">
        <v>300</v>
      </c>
      <c r="N86">
        <v>13</v>
      </c>
      <c r="O86">
        <v>10</v>
      </c>
      <c r="P86">
        <v>3</v>
      </c>
      <c r="Q86">
        <v>3</v>
      </c>
      <c r="R86">
        <v>12</v>
      </c>
      <c r="S86">
        <v>4</v>
      </c>
      <c r="T86">
        <v>9</v>
      </c>
      <c r="U86">
        <v>170</v>
      </c>
      <c r="V86">
        <v>30</v>
      </c>
      <c r="W86">
        <v>15</v>
      </c>
      <c r="X86">
        <v>6</v>
      </c>
    </row>
    <row r="87" spans="1:24" x14ac:dyDescent="0.3">
      <c r="A87" t="s">
        <v>183</v>
      </c>
      <c r="B87" t="s">
        <v>186</v>
      </c>
      <c r="C87" t="s">
        <v>187</v>
      </c>
      <c r="D87">
        <v>380</v>
      </c>
      <c r="E87">
        <v>190</v>
      </c>
      <c r="F87">
        <v>21</v>
      </c>
      <c r="G87">
        <v>33</v>
      </c>
      <c r="H87">
        <v>6</v>
      </c>
      <c r="I87">
        <v>29</v>
      </c>
      <c r="J87">
        <v>0</v>
      </c>
      <c r="K87">
        <v>70</v>
      </c>
      <c r="L87">
        <v>23</v>
      </c>
      <c r="M87">
        <v>860</v>
      </c>
      <c r="N87">
        <v>36</v>
      </c>
      <c r="O87">
        <v>22</v>
      </c>
      <c r="P87">
        <v>7</v>
      </c>
      <c r="Q87">
        <v>2</v>
      </c>
      <c r="R87">
        <v>10</v>
      </c>
      <c r="S87">
        <v>5</v>
      </c>
      <c r="T87">
        <v>25</v>
      </c>
      <c r="U87">
        <v>100</v>
      </c>
      <c r="V87">
        <v>25</v>
      </c>
      <c r="W87">
        <v>15</v>
      </c>
      <c r="X87">
        <v>8</v>
      </c>
    </row>
    <row r="88" spans="1:24" x14ac:dyDescent="0.3">
      <c r="A88" t="s">
        <v>183</v>
      </c>
      <c r="B88" t="s">
        <v>188</v>
      </c>
      <c r="C88" t="s">
        <v>74</v>
      </c>
      <c r="D88">
        <v>220</v>
      </c>
      <c r="E88">
        <v>80</v>
      </c>
      <c r="F88">
        <v>8</v>
      </c>
      <c r="G88">
        <v>13</v>
      </c>
      <c r="H88">
        <v>4</v>
      </c>
      <c r="I88">
        <v>20</v>
      </c>
      <c r="J88">
        <v>0</v>
      </c>
      <c r="K88">
        <v>85</v>
      </c>
      <c r="L88">
        <v>29</v>
      </c>
      <c r="M88">
        <v>690</v>
      </c>
      <c r="N88">
        <v>29</v>
      </c>
      <c r="O88">
        <v>8</v>
      </c>
      <c r="P88">
        <v>3</v>
      </c>
      <c r="Q88">
        <v>2</v>
      </c>
      <c r="R88">
        <v>10</v>
      </c>
      <c r="S88">
        <v>4</v>
      </c>
      <c r="T88">
        <v>29</v>
      </c>
      <c r="U88">
        <v>110</v>
      </c>
      <c r="V88">
        <v>30</v>
      </c>
      <c r="W88">
        <v>15</v>
      </c>
      <c r="X88">
        <v>8</v>
      </c>
    </row>
    <row r="89" spans="1:24" x14ac:dyDescent="0.3">
      <c r="A89" t="s">
        <v>183</v>
      </c>
      <c r="B89" t="s">
        <v>189</v>
      </c>
      <c r="C89" t="s">
        <v>140</v>
      </c>
      <c r="D89">
        <v>140</v>
      </c>
      <c r="E89">
        <v>40</v>
      </c>
      <c r="F89">
        <v>4.5</v>
      </c>
      <c r="G89">
        <v>7</v>
      </c>
      <c r="H89">
        <v>2</v>
      </c>
      <c r="I89">
        <v>9</v>
      </c>
      <c r="J89">
        <v>0</v>
      </c>
      <c r="K89">
        <v>10</v>
      </c>
      <c r="L89">
        <v>3</v>
      </c>
      <c r="M89">
        <v>150</v>
      </c>
      <c r="N89">
        <v>6</v>
      </c>
      <c r="O89">
        <v>20</v>
      </c>
      <c r="P89">
        <v>7</v>
      </c>
      <c r="Q89">
        <v>6</v>
      </c>
      <c r="R89">
        <v>23</v>
      </c>
      <c r="S89">
        <v>6</v>
      </c>
      <c r="T89">
        <v>6</v>
      </c>
      <c r="U89">
        <v>160</v>
      </c>
      <c r="V89">
        <v>25</v>
      </c>
      <c r="W89">
        <v>15</v>
      </c>
      <c r="X89">
        <v>10</v>
      </c>
    </row>
    <row r="90" spans="1:24" x14ac:dyDescent="0.3">
      <c r="A90" t="s">
        <v>183</v>
      </c>
      <c r="B90" t="s">
        <v>190</v>
      </c>
      <c r="C90" t="s">
        <v>191</v>
      </c>
      <c r="D90">
        <v>450</v>
      </c>
      <c r="E90">
        <v>190</v>
      </c>
      <c r="F90">
        <v>22</v>
      </c>
      <c r="G90">
        <v>33</v>
      </c>
      <c r="H90">
        <v>4.5</v>
      </c>
      <c r="I90">
        <v>22</v>
      </c>
      <c r="J90">
        <v>0</v>
      </c>
      <c r="K90">
        <v>50</v>
      </c>
      <c r="L90">
        <v>17</v>
      </c>
      <c r="M90">
        <v>850</v>
      </c>
      <c r="N90">
        <v>35</v>
      </c>
      <c r="O90">
        <v>42</v>
      </c>
      <c r="P90">
        <v>14</v>
      </c>
      <c r="Q90">
        <v>7</v>
      </c>
      <c r="R90">
        <v>28</v>
      </c>
      <c r="S90">
        <v>12</v>
      </c>
      <c r="T90">
        <v>23</v>
      </c>
      <c r="U90">
        <v>170</v>
      </c>
      <c r="V90">
        <v>30</v>
      </c>
      <c r="W90">
        <v>15</v>
      </c>
      <c r="X90">
        <v>15</v>
      </c>
    </row>
    <row r="91" spans="1:24" x14ac:dyDescent="0.3">
      <c r="A91" t="s">
        <v>183</v>
      </c>
      <c r="B91" t="s">
        <v>192</v>
      </c>
      <c r="C91" t="s">
        <v>193</v>
      </c>
      <c r="D91">
        <v>290</v>
      </c>
      <c r="E91">
        <v>80</v>
      </c>
      <c r="F91">
        <v>8</v>
      </c>
      <c r="G91">
        <v>13</v>
      </c>
      <c r="H91">
        <v>2.5</v>
      </c>
      <c r="I91">
        <v>13</v>
      </c>
      <c r="J91">
        <v>0</v>
      </c>
      <c r="K91">
        <v>70</v>
      </c>
      <c r="L91">
        <v>23</v>
      </c>
      <c r="M91">
        <v>680</v>
      </c>
      <c r="N91">
        <v>28</v>
      </c>
      <c r="O91">
        <v>28</v>
      </c>
      <c r="P91">
        <v>9</v>
      </c>
      <c r="Q91">
        <v>7</v>
      </c>
      <c r="R91">
        <v>28</v>
      </c>
      <c r="S91">
        <v>10</v>
      </c>
      <c r="T91">
        <v>27</v>
      </c>
      <c r="U91">
        <v>170</v>
      </c>
      <c r="V91">
        <v>30</v>
      </c>
      <c r="W91">
        <v>15</v>
      </c>
      <c r="X91">
        <v>15</v>
      </c>
    </row>
    <row r="92" spans="1:24" x14ac:dyDescent="0.3">
      <c r="A92" t="s">
        <v>194</v>
      </c>
      <c r="B92" t="s">
        <v>195</v>
      </c>
      <c r="C92" t="s">
        <v>196</v>
      </c>
      <c r="D92">
        <v>340</v>
      </c>
      <c r="E92">
        <v>130</v>
      </c>
      <c r="F92">
        <v>15</v>
      </c>
      <c r="G92">
        <v>23</v>
      </c>
      <c r="H92">
        <v>4.5</v>
      </c>
      <c r="I92">
        <v>22</v>
      </c>
      <c r="J92">
        <v>0</v>
      </c>
      <c r="K92">
        <v>30</v>
      </c>
      <c r="L92">
        <v>11</v>
      </c>
      <c r="M92">
        <v>780</v>
      </c>
      <c r="N92">
        <v>33</v>
      </c>
      <c r="O92">
        <v>37</v>
      </c>
      <c r="P92">
        <v>12</v>
      </c>
      <c r="Q92">
        <v>1</v>
      </c>
      <c r="R92">
        <v>6</v>
      </c>
      <c r="S92">
        <v>8</v>
      </c>
      <c r="T92">
        <v>14</v>
      </c>
      <c r="U92">
        <v>4</v>
      </c>
      <c r="V92">
        <v>0</v>
      </c>
      <c r="W92">
        <v>10</v>
      </c>
      <c r="X92">
        <v>10</v>
      </c>
    </row>
    <row r="93" spans="1:24" x14ac:dyDescent="0.3">
      <c r="A93" t="s">
        <v>194</v>
      </c>
      <c r="B93" t="s">
        <v>197</v>
      </c>
      <c r="C93" t="s">
        <v>198</v>
      </c>
      <c r="D93">
        <v>260</v>
      </c>
      <c r="E93">
        <v>70</v>
      </c>
      <c r="F93">
        <v>8</v>
      </c>
      <c r="G93">
        <v>13</v>
      </c>
      <c r="H93">
        <v>3.5</v>
      </c>
      <c r="I93">
        <v>18</v>
      </c>
      <c r="J93">
        <v>0</v>
      </c>
      <c r="K93">
        <v>40</v>
      </c>
      <c r="L93">
        <v>14</v>
      </c>
      <c r="M93">
        <v>700</v>
      </c>
      <c r="N93">
        <v>29</v>
      </c>
      <c r="O93">
        <v>30</v>
      </c>
      <c r="P93">
        <v>10</v>
      </c>
      <c r="Q93">
        <v>1</v>
      </c>
      <c r="R93">
        <v>6</v>
      </c>
      <c r="S93">
        <v>7</v>
      </c>
      <c r="T93">
        <v>16</v>
      </c>
      <c r="U93">
        <v>4</v>
      </c>
      <c r="V93">
        <v>2</v>
      </c>
      <c r="W93">
        <v>10</v>
      </c>
      <c r="X93">
        <v>10</v>
      </c>
    </row>
    <row r="94" spans="1:24" x14ac:dyDescent="0.3">
      <c r="A94" t="s">
        <v>194</v>
      </c>
      <c r="B94" t="s">
        <v>199</v>
      </c>
      <c r="C94" t="s">
        <v>198</v>
      </c>
      <c r="D94">
        <v>330</v>
      </c>
      <c r="E94">
        <v>130</v>
      </c>
      <c r="F94">
        <v>15</v>
      </c>
      <c r="G94">
        <v>23</v>
      </c>
      <c r="H94">
        <v>4.5</v>
      </c>
      <c r="I94">
        <v>22</v>
      </c>
      <c r="J94">
        <v>0</v>
      </c>
      <c r="K94">
        <v>35</v>
      </c>
      <c r="L94">
        <v>11</v>
      </c>
      <c r="M94">
        <v>730</v>
      </c>
      <c r="N94">
        <v>30</v>
      </c>
      <c r="O94">
        <v>34</v>
      </c>
      <c r="P94">
        <v>11</v>
      </c>
      <c r="Q94">
        <v>1</v>
      </c>
      <c r="R94">
        <v>5</v>
      </c>
      <c r="S94">
        <v>3</v>
      </c>
      <c r="T94">
        <v>14</v>
      </c>
      <c r="U94">
        <v>2</v>
      </c>
      <c r="V94">
        <v>0</v>
      </c>
      <c r="W94">
        <v>10</v>
      </c>
      <c r="X94">
        <v>10</v>
      </c>
    </row>
    <row r="95" spans="1:24" x14ac:dyDescent="0.3">
      <c r="A95" t="s">
        <v>194</v>
      </c>
      <c r="B95" t="s">
        <v>200</v>
      </c>
      <c r="C95" t="s">
        <v>201</v>
      </c>
      <c r="D95">
        <v>250</v>
      </c>
      <c r="E95">
        <v>70</v>
      </c>
      <c r="F95">
        <v>8</v>
      </c>
      <c r="G95">
        <v>13</v>
      </c>
      <c r="H95">
        <v>3.5</v>
      </c>
      <c r="I95">
        <v>18</v>
      </c>
      <c r="J95">
        <v>0</v>
      </c>
      <c r="K95">
        <v>45</v>
      </c>
      <c r="L95">
        <v>14</v>
      </c>
      <c r="M95">
        <v>650</v>
      </c>
      <c r="N95">
        <v>27</v>
      </c>
      <c r="O95">
        <v>27</v>
      </c>
      <c r="P95">
        <v>9</v>
      </c>
      <c r="Q95">
        <v>1</v>
      </c>
      <c r="R95">
        <v>5</v>
      </c>
      <c r="S95">
        <v>2</v>
      </c>
      <c r="T95">
        <v>16</v>
      </c>
      <c r="U95">
        <v>2</v>
      </c>
      <c r="V95">
        <v>2</v>
      </c>
      <c r="W95">
        <v>10</v>
      </c>
      <c r="X95">
        <v>10</v>
      </c>
    </row>
    <row r="96" spans="1:24" x14ac:dyDescent="0.3">
      <c r="A96" t="s">
        <v>194</v>
      </c>
      <c r="B96" t="s">
        <v>202</v>
      </c>
      <c r="C96" t="s">
        <v>203</v>
      </c>
      <c r="D96">
        <v>360</v>
      </c>
      <c r="E96">
        <v>180</v>
      </c>
      <c r="F96">
        <v>20</v>
      </c>
      <c r="G96">
        <v>30</v>
      </c>
      <c r="H96">
        <v>5</v>
      </c>
      <c r="I96">
        <v>27</v>
      </c>
      <c r="J96">
        <v>0</v>
      </c>
      <c r="K96">
        <v>40</v>
      </c>
      <c r="L96">
        <v>13</v>
      </c>
      <c r="M96">
        <v>810</v>
      </c>
      <c r="N96">
        <v>34</v>
      </c>
      <c r="O96">
        <v>32</v>
      </c>
      <c r="P96">
        <v>11</v>
      </c>
      <c r="Q96">
        <v>1</v>
      </c>
      <c r="R96">
        <v>5</v>
      </c>
      <c r="S96">
        <v>3</v>
      </c>
      <c r="T96">
        <v>15</v>
      </c>
      <c r="U96">
        <v>2</v>
      </c>
      <c r="V96">
        <v>0</v>
      </c>
      <c r="W96">
        <v>10</v>
      </c>
      <c r="X96">
        <v>10</v>
      </c>
    </row>
    <row r="97" spans="1:24" x14ac:dyDescent="0.3">
      <c r="A97" t="s">
        <v>194</v>
      </c>
      <c r="B97" t="s">
        <v>204</v>
      </c>
      <c r="C97" t="s">
        <v>205</v>
      </c>
      <c r="D97">
        <v>280</v>
      </c>
      <c r="E97">
        <v>120</v>
      </c>
      <c r="F97">
        <v>13</v>
      </c>
      <c r="G97">
        <v>20</v>
      </c>
      <c r="H97">
        <v>4.5</v>
      </c>
      <c r="I97">
        <v>22</v>
      </c>
      <c r="J97">
        <v>0</v>
      </c>
      <c r="K97">
        <v>45</v>
      </c>
      <c r="L97">
        <v>16</v>
      </c>
      <c r="M97">
        <v>720</v>
      </c>
      <c r="N97">
        <v>30</v>
      </c>
      <c r="O97">
        <v>25</v>
      </c>
      <c r="P97">
        <v>8</v>
      </c>
      <c r="Q97">
        <v>1</v>
      </c>
      <c r="R97">
        <v>5</v>
      </c>
      <c r="S97">
        <v>2</v>
      </c>
      <c r="T97">
        <v>16</v>
      </c>
      <c r="U97">
        <v>2</v>
      </c>
      <c r="V97">
        <v>2</v>
      </c>
      <c r="W97">
        <v>10</v>
      </c>
      <c r="X97">
        <v>10</v>
      </c>
    </row>
    <row r="98" spans="1:24" x14ac:dyDescent="0.3">
      <c r="A98" t="s">
        <v>194</v>
      </c>
      <c r="B98" t="s">
        <v>206</v>
      </c>
      <c r="C98" t="s">
        <v>207</v>
      </c>
      <c r="D98">
        <v>230</v>
      </c>
      <c r="E98">
        <v>100</v>
      </c>
      <c r="F98">
        <v>11</v>
      </c>
      <c r="G98">
        <v>17</v>
      </c>
      <c r="H98">
        <v>1.5</v>
      </c>
      <c r="I98">
        <v>8</v>
      </c>
      <c r="J98">
        <v>0</v>
      </c>
      <c r="K98">
        <v>0</v>
      </c>
      <c r="L98">
        <v>0</v>
      </c>
      <c r="M98">
        <v>130</v>
      </c>
      <c r="N98">
        <v>5</v>
      </c>
      <c r="O98">
        <v>30</v>
      </c>
      <c r="P98">
        <v>10</v>
      </c>
      <c r="Q98">
        <v>2</v>
      </c>
      <c r="R98">
        <v>10</v>
      </c>
      <c r="S98">
        <v>0</v>
      </c>
      <c r="T98">
        <v>2</v>
      </c>
      <c r="U98">
        <v>0</v>
      </c>
      <c r="V98">
        <v>30</v>
      </c>
      <c r="W98">
        <v>0</v>
      </c>
      <c r="X98">
        <v>4</v>
      </c>
    </row>
    <row r="99" spans="1:24" x14ac:dyDescent="0.3">
      <c r="A99" t="s">
        <v>194</v>
      </c>
      <c r="B99" t="s">
        <v>208</v>
      </c>
      <c r="C99" t="s">
        <v>30</v>
      </c>
      <c r="D99">
        <v>340</v>
      </c>
      <c r="E99">
        <v>140</v>
      </c>
      <c r="F99">
        <v>16</v>
      </c>
      <c r="G99">
        <v>24</v>
      </c>
      <c r="H99">
        <v>2.5</v>
      </c>
      <c r="I99">
        <v>11</v>
      </c>
      <c r="J99">
        <v>0</v>
      </c>
      <c r="K99">
        <v>0</v>
      </c>
      <c r="L99">
        <v>0</v>
      </c>
      <c r="M99">
        <v>190</v>
      </c>
      <c r="N99">
        <v>8</v>
      </c>
      <c r="O99">
        <v>44</v>
      </c>
      <c r="P99">
        <v>15</v>
      </c>
      <c r="Q99">
        <v>4</v>
      </c>
      <c r="R99">
        <v>14</v>
      </c>
      <c r="S99">
        <v>0</v>
      </c>
      <c r="T99">
        <v>4</v>
      </c>
      <c r="U99">
        <v>0</v>
      </c>
      <c r="V99">
        <v>45</v>
      </c>
      <c r="W99">
        <v>2</v>
      </c>
      <c r="X99">
        <v>4</v>
      </c>
    </row>
    <row r="100" spans="1:24" x14ac:dyDescent="0.3">
      <c r="A100" t="s">
        <v>194</v>
      </c>
      <c r="B100" t="s">
        <v>209</v>
      </c>
      <c r="C100" t="s">
        <v>210</v>
      </c>
      <c r="D100">
        <v>510</v>
      </c>
      <c r="E100">
        <v>220</v>
      </c>
      <c r="F100">
        <v>24</v>
      </c>
      <c r="G100">
        <v>37</v>
      </c>
      <c r="H100">
        <v>3.5</v>
      </c>
      <c r="I100">
        <v>17</v>
      </c>
      <c r="J100">
        <v>0</v>
      </c>
      <c r="K100">
        <v>0</v>
      </c>
      <c r="L100">
        <v>0</v>
      </c>
      <c r="M100">
        <v>290</v>
      </c>
      <c r="N100">
        <v>12</v>
      </c>
      <c r="O100">
        <v>67</v>
      </c>
      <c r="P100">
        <v>22</v>
      </c>
      <c r="Q100">
        <v>5</v>
      </c>
      <c r="R100">
        <v>22</v>
      </c>
      <c r="S100">
        <v>0</v>
      </c>
      <c r="T100">
        <v>6</v>
      </c>
      <c r="U100">
        <v>0</v>
      </c>
      <c r="V100">
        <v>70</v>
      </c>
      <c r="W100">
        <v>2</v>
      </c>
      <c r="X100">
        <v>8</v>
      </c>
    </row>
    <row r="101" spans="1:24" x14ac:dyDescent="0.3">
      <c r="A101" t="s">
        <v>194</v>
      </c>
      <c r="B101" t="s">
        <v>211</v>
      </c>
      <c r="C101" t="s">
        <v>212</v>
      </c>
      <c r="D101">
        <v>110</v>
      </c>
      <c r="E101">
        <v>50</v>
      </c>
      <c r="F101">
        <v>5</v>
      </c>
      <c r="G101">
        <v>8</v>
      </c>
      <c r="H101">
        <v>1</v>
      </c>
      <c r="I101">
        <v>4</v>
      </c>
      <c r="J101">
        <v>0</v>
      </c>
      <c r="K101">
        <v>0</v>
      </c>
      <c r="L101">
        <v>0</v>
      </c>
      <c r="M101">
        <v>65</v>
      </c>
      <c r="N101">
        <v>3</v>
      </c>
      <c r="O101">
        <v>15</v>
      </c>
      <c r="P101">
        <v>5</v>
      </c>
      <c r="Q101">
        <v>1</v>
      </c>
      <c r="R101">
        <v>5</v>
      </c>
      <c r="S101">
        <v>0</v>
      </c>
      <c r="T101">
        <v>1</v>
      </c>
      <c r="U101">
        <v>0</v>
      </c>
      <c r="V101">
        <v>15</v>
      </c>
      <c r="W101">
        <v>0</v>
      </c>
      <c r="X101">
        <v>2</v>
      </c>
    </row>
    <row r="102" spans="1:24" x14ac:dyDescent="0.3">
      <c r="A102" t="s">
        <v>194</v>
      </c>
      <c r="B102" t="s">
        <v>213</v>
      </c>
      <c r="C102" t="s">
        <v>214</v>
      </c>
      <c r="D102">
        <v>20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10</v>
      </c>
      <c r="N102">
        <v>0</v>
      </c>
      <c r="O102">
        <v>4</v>
      </c>
      <c r="P102">
        <v>1</v>
      </c>
      <c r="Q102">
        <v>1</v>
      </c>
      <c r="R102">
        <v>6</v>
      </c>
      <c r="S102">
        <v>2</v>
      </c>
      <c r="T102">
        <v>1</v>
      </c>
      <c r="U102">
        <v>45</v>
      </c>
      <c r="V102">
        <v>25</v>
      </c>
      <c r="W102">
        <v>2</v>
      </c>
      <c r="X102">
        <v>4</v>
      </c>
    </row>
    <row r="103" spans="1:24" x14ac:dyDescent="0.3">
      <c r="A103" t="s">
        <v>194</v>
      </c>
      <c r="B103" t="s">
        <v>215</v>
      </c>
      <c r="C103" t="s">
        <v>216</v>
      </c>
      <c r="D103">
        <v>15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4</v>
      </c>
      <c r="P103">
        <v>1</v>
      </c>
      <c r="Q103">
        <v>0</v>
      </c>
      <c r="R103">
        <v>0</v>
      </c>
      <c r="S103">
        <v>3</v>
      </c>
      <c r="T103">
        <v>0</v>
      </c>
      <c r="U103">
        <v>0</v>
      </c>
      <c r="V103">
        <v>160</v>
      </c>
      <c r="W103">
        <v>2</v>
      </c>
      <c r="X103">
        <v>0</v>
      </c>
    </row>
    <row r="104" spans="1:24" x14ac:dyDescent="0.3">
      <c r="A104" t="s">
        <v>194</v>
      </c>
      <c r="B104" t="s">
        <v>217</v>
      </c>
      <c r="C104" t="s">
        <v>218</v>
      </c>
      <c r="D104">
        <v>150</v>
      </c>
      <c r="E104">
        <v>20</v>
      </c>
      <c r="F104">
        <v>2</v>
      </c>
      <c r="G104">
        <v>3</v>
      </c>
      <c r="H104">
        <v>1</v>
      </c>
      <c r="I104">
        <v>5</v>
      </c>
      <c r="J104">
        <v>0</v>
      </c>
      <c r="K104">
        <v>5</v>
      </c>
      <c r="L104">
        <v>2</v>
      </c>
      <c r="M104">
        <v>70</v>
      </c>
      <c r="N104">
        <v>3</v>
      </c>
      <c r="O104">
        <v>30</v>
      </c>
      <c r="P104">
        <v>10</v>
      </c>
      <c r="Q104">
        <v>1</v>
      </c>
      <c r="R104">
        <v>3</v>
      </c>
      <c r="S104">
        <v>23</v>
      </c>
      <c r="T104">
        <v>4</v>
      </c>
      <c r="U104">
        <v>2</v>
      </c>
      <c r="V104">
        <v>15</v>
      </c>
      <c r="W104">
        <v>10</v>
      </c>
      <c r="X104">
        <v>4</v>
      </c>
    </row>
    <row r="105" spans="1:24" x14ac:dyDescent="0.3">
      <c r="A105" t="s">
        <v>219</v>
      </c>
      <c r="B105" t="s">
        <v>220</v>
      </c>
      <c r="C105" t="s">
        <v>221</v>
      </c>
      <c r="D105">
        <v>250</v>
      </c>
      <c r="E105">
        <v>110</v>
      </c>
      <c r="F105">
        <v>13</v>
      </c>
      <c r="G105">
        <v>19</v>
      </c>
      <c r="H105">
        <v>7</v>
      </c>
      <c r="I105">
        <v>35</v>
      </c>
      <c r="J105">
        <v>0</v>
      </c>
      <c r="K105">
        <v>0</v>
      </c>
      <c r="L105">
        <v>0</v>
      </c>
      <c r="M105">
        <v>170</v>
      </c>
      <c r="N105">
        <v>7</v>
      </c>
      <c r="O105">
        <v>32</v>
      </c>
      <c r="P105">
        <v>11</v>
      </c>
      <c r="Q105">
        <v>4</v>
      </c>
      <c r="R105">
        <v>15</v>
      </c>
      <c r="S105">
        <v>13</v>
      </c>
      <c r="T105">
        <v>2</v>
      </c>
      <c r="U105">
        <v>4</v>
      </c>
      <c r="V105">
        <v>25</v>
      </c>
      <c r="W105">
        <v>2</v>
      </c>
      <c r="X105">
        <v>6</v>
      </c>
    </row>
    <row r="106" spans="1:24" x14ac:dyDescent="0.3">
      <c r="A106" t="s">
        <v>219</v>
      </c>
      <c r="B106" t="s">
        <v>222</v>
      </c>
      <c r="C106" t="s">
        <v>223</v>
      </c>
      <c r="D106">
        <v>160</v>
      </c>
      <c r="E106">
        <v>70</v>
      </c>
      <c r="F106">
        <v>8</v>
      </c>
      <c r="G106">
        <v>12</v>
      </c>
      <c r="H106">
        <v>3.5</v>
      </c>
      <c r="I106">
        <v>19</v>
      </c>
      <c r="J106">
        <v>0</v>
      </c>
      <c r="K106">
        <v>10</v>
      </c>
      <c r="L106">
        <v>3</v>
      </c>
      <c r="M106">
        <v>90</v>
      </c>
      <c r="N106">
        <v>4</v>
      </c>
      <c r="O106">
        <v>21</v>
      </c>
      <c r="P106">
        <v>7</v>
      </c>
      <c r="Q106">
        <v>1</v>
      </c>
      <c r="R106">
        <v>3</v>
      </c>
      <c r="S106">
        <v>15</v>
      </c>
      <c r="T106">
        <v>2</v>
      </c>
      <c r="U106">
        <v>2</v>
      </c>
      <c r="V106">
        <v>0</v>
      </c>
      <c r="W106">
        <v>2</v>
      </c>
      <c r="X106">
        <v>8</v>
      </c>
    </row>
    <row r="107" spans="1:24" x14ac:dyDescent="0.3">
      <c r="A107" t="s">
        <v>219</v>
      </c>
      <c r="B107" t="s">
        <v>224</v>
      </c>
      <c r="C107" t="s">
        <v>223</v>
      </c>
      <c r="D107">
        <v>150</v>
      </c>
      <c r="E107">
        <v>50</v>
      </c>
      <c r="F107">
        <v>6</v>
      </c>
      <c r="G107">
        <v>9</v>
      </c>
      <c r="H107">
        <v>2.5</v>
      </c>
      <c r="I107">
        <v>13</v>
      </c>
      <c r="J107">
        <v>0</v>
      </c>
      <c r="K107">
        <v>10</v>
      </c>
      <c r="L107">
        <v>3</v>
      </c>
      <c r="M107">
        <v>135</v>
      </c>
      <c r="N107">
        <v>6</v>
      </c>
      <c r="O107">
        <v>22</v>
      </c>
      <c r="P107">
        <v>7</v>
      </c>
      <c r="Q107">
        <v>1</v>
      </c>
      <c r="R107">
        <v>3</v>
      </c>
      <c r="S107">
        <v>13</v>
      </c>
      <c r="T107">
        <v>2</v>
      </c>
      <c r="U107">
        <v>2</v>
      </c>
      <c r="V107">
        <v>0</v>
      </c>
      <c r="W107">
        <v>2</v>
      </c>
      <c r="X107">
        <v>6</v>
      </c>
    </row>
    <row r="108" spans="1:24" x14ac:dyDescent="0.3">
      <c r="A108" t="s">
        <v>219</v>
      </c>
      <c r="B108" t="s">
        <v>225</v>
      </c>
      <c r="C108" t="s">
        <v>226</v>
      </c>
      <c r="D108">
        <v>45</v>
      </c>
      <c r="E108">
        <v>10</v>
      </c>
      <c r="F108">
        <v>1.5</v>
      </c>
      <c r="G108">
        <v>2</v>
      </c>
      <c r="H108">
        <v>1</v>
      </c>
      <c r="I108">
        <v>4</v>
      </c>
      <c r="J108">
        <v>0</v>
      </c>
      <c r="K108">
        <v>5</v>
      </c>
      <c r="L108">
        <v>2</v>
      </c>
      <c r="M108">
        <v>20</v>
      </c>
      <c r="N108">
        <v>1</v>
      </c>
      <c r="O108">
        <v>7</v>
      </c>
      <c r="P108">
        <v>2</v>
      </c>
      <c r="Q108">
        <v>0</v>
      </c>
      <c r="R108">
        <v>0</v>
      </c>
      <c r="S108">
        <v>6</v>
      </c>
      <c r="T108">
        <v>1</v>
      </c>
      <c r="U108">
        <v>2</v>
      </c>
      <c r="V108">
        <v>0</v>
      </c>
      <c r="W108">
        <v>4</v>
      </c>
      <c r="X108">
        <v>0</v>
      </c>
    </row>
    <row r="109" spans="1:24" x14ac:dyDescent="0.3">
      <c r="A109" t="s">
        <v>219</v>
      </c>
      <c r="B109" t="s">
        <v>227</v>
      </c>
      <c r="C109" t="s">
        <v>228</v>
      </c>
      <c r="D109">
        <v>330</v>
      </c>
      <c r="E109">
        <v>80</v>
      </c>
      <c r="F109">
        <v>9</v>
      </c>
      <c r="G109">
        <v>14</v>
      </c>
      <c r="H109">
        <v>7</v>
      </c>
      <c r="I109">
        <v>34</v>
      </c>
      <c r="J109">
        <v>0</v>
      </c>
      <c r="K109">
        <v>25</v>
      </c>
      <c r="L109">
        <v>8</v>
      </c>
      <c r="M109">
        <v>170</v>
      </c>
      <c r="N109">
        <v>7</v>
      </c>
      <c r="O109">
        <v>53</v>
      </c>
      <c r="P109">
        <v>18</v>
      </c>
      <c r="Q109">
        <v>1</v>
      </c>
      <c r="R109">
        <v>3</v>
      </c>
      <c r="S109">
        <v>48</v>
      </c>
      <c r="T109">
        <v>8</v>
      </c>
      <c r="U109">
        <v>8</v>
      </c>
      <c r="V109">
        <v>0</v>
      </c>
      <c r="W109">
        <v>25</v>
      </c>
      <c r="X109">
        <v>8</v>
      </c>
    </row>
    <row r="110" spans="1:24" x14ac:dyDescent="0.3">
      <c r="A110" t="s">
        <v>219</v>
      </c>
      <c r="B110" t="s">
        <v>229</v>
      </c>
      <c r="C110" t="s">
        <v>230</v>
      </c>
      <c r="D110">
        <v>340</v>
      </c>
      <c r="E110">
        <v>70</v>
      </c>
      <c r="F110">
        <v>8</v>
      </c>
      <c r="G110">
        <v>12</v>
      </c>
      <c r="H110">
        <v>5</v>
      </c>
      <c r="I110">
        <v>24</v>
      </c>
      <c r="J110">
        <v>0</v>
      </c>
      <c r="K110">
        <v>30</v>
      </c>
      <c r="L110">
        <v>10</v>
      </c>
      <c r="M110">
        <v>150</v>
      </c>
      <c r="N110">
        <v>6</v>
      </c>
      <c r="O110">
        <v>60</v>
      </c>
      <c r="P110">
        <v>20</v>
      </c>
      <c r="Q110">
        <v>0</v>
      </c>
      <c r="R110">
        <v>0</v>
      </c>
      <c r="S110">
        <v>43</v>
      </c>
      <c r="T110">
        <v>7</v>
      </c>
      <c r="U110">
        <v>10</v>
      </c>
      <c r="V110">
        <v>0</v>
      </c>
      <c r="W110">
        <v>25</v>
      </c>
      <c r="X110">
        <v>0</v>
      </c>
    </row>
    <row r="111" spans="1:24" x14ac:dyDescent="0.3">
      <c r="A111" t="s">
        <v>219</v>
      </c>
      <c r="B111" t="s">
        <v>231</v>
      </c>
      <c r="C111" t="s">
        <v>64</v>
      </c>
      <c r="D111">
        <v>280</v>
      </c>
      <c r="E111">
        <v>60</v>
      </c>
      <c r="F111">
        <v>6</v>
      </c>
      <c r="G111">
        <v>10</v>
      </c>
      <c r="H111">
        <v>4</v>
      </c>
      <c r="I111">
        <v>20</v>
      </c>
      <c r="J111">
        <v>0</v>
      </c>
      <c r="K111">
        <v>25</v>
      </c>
      <c r="L111">
        <v>8</v>
      </c>
      <c r="M111">
        <v>85</v>
      </c>
      <c r="N111">
        <v>4</v>
      </c>
      <c r="O111">
        <v>49</v>
      </c>
      <c r="P111">
        <v>16</v>
      </c>
      <c r="Q111">
        <v>0</v>
      </c>
      <c r="R111">
        <v>0</v>
      </c>
      <c r="S111">
        <v>45</v>
      </c>
      <c r="T111">
        <v>6</v>
      </c>
      <c r="U111">
        <v>8</v>
      </c>
      <c r="V111">
        <v>4</v>
      </c>
      <c r="W111">
        <v>20</v>
      </c>
      <c r="X111">
        <v>0</v>
      </c>
    </row>
    <row r="112" spans="1:24" x14ac:dyDescent="0.3">
      <c r="A112" t="s">
        <v>232</v>
      </c>
      <c r="B112" t="s">
        <v>233</v>
      </c>
      <c r="C112" t="s">
        <v>234</v>
      </c>
      <c r="D112">
        <v>140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39</v>
      </c>
      <c r="P112">
        <v>13</v>
      </c>
      <c r="Q112">
        <v>0</v>
      </c>
      <c r="R112">
        <v>0</v>
      </c>
      <c r="S112">
        <v>39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 x14ac:dyDescent="0.3">
      <c r="A113" t="s">
        <v>232</v>
      </c>
      <c r="B113" t="s">
        <v>235</v>
      </c>
      <c r="C113" t="s">
        <v>236</v>
      </c>
      <c r="D113">
        <v>200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</v>
      </c>
      <c r="N113">
        <v>0</v>
      </c>
      <c r="O113">
        <v>55</v>
      </c>
      <c r="P113">
        <v>18</v>
      </c>
      <c r="Q113">
        <v>0</v>
      </c>
      <c r="R113">
        <v>0</v>
      </c>
      <c r="S113">
        <v>55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 x14ac:dyDescent="0.3">
      <c r="A114" t="s">
        <v>232</v>
      </c>
      <c r="B114" t="s">
        <v>237</v>
      </c>
      <c r="C114" t="s">
        <v>238</v>
      </c>
      <c r="D114">
        <v>280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</v>
      </c>
      <c r="N114">
        <v>0</v>
      </c>
      <c r="O114">
        <v>76</v>
      </c>
      <c r="P114">
        <v>25</v>
      </c>
      <c r="Q114">
        <v>0</v>
      </c>
      <c r="R114">
        <v>0</v>
      </c>
      <c r="S114">
        <v>76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 x14ac:dyDescent="0.3">
      <c r="A115" t="s">
        <v>232</v>
      </c>
      <c r="B115" t="s">
        <v>239</v>
      </c>
      <c r="C115" t="s">
        <v>240</v>
      </c>
      <c r="D115">
        <v>100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28</v>
      </c>
      <c r="P115">
        <v>9</v>
      </c>
      <c r="Q115">
        <v>0</v>
      </c>
      <c r="R115">
        <v>0</v>
      </c>
      <c r="S115">
        <v>28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 x14ac:dyDescent="0.3">
      <c r="A116" t="s">
        <v>232</v>
      </c>
      <c r="B116" t="s">
        <v>241</v>
      </c>
      <c r="C116" t="s">
        <v>234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 x14ac:dyDescent="0.3">
      <c r="A117" t="s">
        <v>232</v>
      </c>
      <c r="B117" t="s">
        <v>242</v>
      </c>
      <c r="C117" t="s">
        <v>236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 x14ac:dyDescent="0.3">
      <c r="A118" t="s">
        <v>232</v>
      </c>
      <c r="B118" t="s">
        <v>243</v>
      </c>
      <c r="C118" t="s">
        <v>238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35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 x14ac:dyDescent="0.3">
      <c r="A119" t="s">
        <v>232</v>
      </c>
      <c r="B119" t="s">
        <v>244</v>
      </c>
      <c r="C119" t="s">
        <v>240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15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 x14ac:dyDescent="0.3">
      <c r="A120" t="s">
        <v>232</v>
      </c>
      <c r="B120" t="s">
        <v>245</v>
      </c>
      <c r="C120" t="s">
        <v>234</v>
      </c>
      <c r="D120">
        <v>140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45</v>
      </c>
      <c r="N120">
        <v>2</v>
      </c>
      <c r="O120">
        <v>37</v>
      </c>
      <c r="P120">
        <v>12</v>
      </c>
      <c r="Q120">
        <v>0</v>
      </c>
      <c r="R120">
        <v>0</v>
      </c>
      <c r="S120">
        <v>35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 x14ac:dyDescent="0.3">
      <c r="A121" t="s">
        <v>232</v>
      </c>
      <c r="B121" t="s">
        <v>246</v>
      </c>
      <c r="C121" t="s">
        <v>236</v>
      </c>
      <c r="D121">
        <v>190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65</v>
      </c>
      <c r="N121">
        <v>3</v>
      </c>
      <c r="O121">
        <v>53</v>
      </c>
      <c r="P121">
        <v>18</v>
      </c>
      <c r="Q121">
        <v>0</v>
      </c>
      <c r="R121">
        <v>0</v>
      </c>
      <c r="S121">
        <v>51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 x14ac:dyDescent="0.3">
      <c r="A122" t="s">
        <v>232</v>
      </c>
      <c r="B122" t="s">
        <v>247</v>
      </c>
      <c r="C122" t="s">
        <v>238</v>
      </c>
      <c r="D122">
        <v>270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90</v>
      </c>
      <c r="N122">
        <v>4</v>
      </c>
      <c r="O122">
        <v>72</v>
      </c>
      <c r="P122">
        <v>24</v>
      </c>
      <c r="Q122">
        <v>0</v>
      </c>
      <c r="R122">
        <v>0</v>
      </c>
      <c r="S122">
        <v>70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 x14ac:dyDescent="0.3">
      <c r="A123" t="s">
        <v>232</v>
      </c>
      <c r="B123" t="s">
        <v>248</v>
      </c>
      <c r="C123" t="s">
        <v>240</v>
      </c>
      <c r="D123">
        <v>100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30</v>
      </c>
      <c r="N123">
        <v>1</v>
      </c>
      <c r="O123">
        <v>27</v>
      </c>
      <c r="P123">
        <v>9</v>
      </c>
      <c r="Q123">
        <v>0</v>
      </c>
      <c r="R123">
        <v>0</v>
      </c>
      <c r="S123">
        <v>26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 x14ac:dyDescent="0.3">
      <c r="A124" t="s">
        <v>232</v>
      </c>
      <c r="B124" t="s">
        <v>249</v>
      </c>
      <c r="C124" t="s">
        <v>234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70</v>
      </c>
      <c r="N124">
        <v>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</v>
      </c>
      <c r="U124">
        <v>0</v>
      </c>
      <c r="V124">
        <v>0</v>
      </c>
      <c r="W124">
        <v>0</v>
      </c>
      <c r="X124">
        <v>0</v>
      </c>
    </row>
    <row r="125" spans="1:24" x14ac:dyDescent="0.3">
      <c r="A125" t="s">
        <v>232</v>
      </c>
      <c r="B125" t="s">
        <v>250</v>
      </c>
      <c r="C125" t="s">
        <v>236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100</v>
      </c>
      <c r="N125">
        <v>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</v>
      </c>
      <c r="U125">
        <v>0</v>
      </c>
      <c r="V125">
        <v>0</v>
      </c>
      <c r="W125">
        <v>0</v>
      </c>
      <c r="X125">
        <v>0</v>
      </c>
    </row>
    <row r="126" spans="1:24" x14ac:dyDescent="0.3">
      <c r="A126" t="s">
        <v>232</v>
      </c>
      <c r="B126" t="s">
        <v>251</v>
      </c>
      <c r="C126" t="s">
        <v>238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140</v>
      </c>
      <c r="N126">
        <v>6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</v>
      </c>
      <c r="U126">
        <v>0</v>
      </c>
      <c r="V126">
        <v>0</v>
      </c>
      <c r="W126">
        <v>0</v>
      </c>
      <c r="X126">
        <v>0</v>
      </c>
    </row>
    <row r="127" spans="1:24" x14ac:dyDescent="0.3">
      <c r="A127" t="s">
        <v>232</v>
      </c>
      <c r="B127" t="s">
        <v>252</v>
      </c>
      <c r="C127" t="s">
        <v>240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50</v>
      </c>
      <c r="N127">
        <v>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</row>
    <row r="128" spans="1:24" x14ac:dyDescent="0.3">
      <c r="A128" t="s">
        <v>232</v>
      </c>
      <c r="B128" t="s">
        <v>253</v>
      </c>
      <c r="C128" t="s">
        <v>234</v>
      </c>
      <c r="D128">
        <v>140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30</v>
      </c>
      <c r="N128">
        <v>1</v>
      </c>
      <c r="O128">
        <v>37</v>
      </c>
      <c r="P128">
        <v>12</v>
      </c>
      <c r="Q128">
        <v>0</v>
      </c>
      <c r="R128">
        <v>0</v>
      </c>
      <c r="S128">
        <v>37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 x14ac:dyDescent="0.3">
      <c r="A129" t="s">
        <v>232</v>
      </c>
      <c r="B129" t="s">
        <v>254</v>
      </c>
      <c r="C129" t="s">
        <v>236</v>
      </c>
      <c r="D129">
        <v>200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45</v>
      </c>
      <c r="N129">
        <v>2</v>
      </c>
      <c r="O129">
        <v>54</v>
      </c>
      <c r="P129">
        <v>18</v>
      </c>
      <c r="Q129">
        <v>0</v>
      </c>
      <c r="R129">
        <v>0</v>
      </c>
      <c r="S129">
        <v>54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 x14ac:dyDescent="0.3">
      <c r="A130" t="s">
        <v>232</v>
      </c>
      <c r="B130" t="s">
        <v>255</v>
      </c>
      <c r="C130" t="s">
        <v>238</v>
      </c>
      <c r="D130">
        <v>280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60</v>
      </c>
      <c r="N130">
        <v>3</v>
      </c>
      <c r="O130">
        <v>74</v>
      </c>
      <c r="P130">
        <v>25</v>
      </c>
      <c r="Q130">
        <v>0</v>
      </c>
      <c r="R130">
        <v>0</v>
      </c>
      <c r="S130">
        <v>74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 x14ac:dyDescent="0.3">
      <c r="A131" t="s">
        <v>232</v>
      </c>
      <c r="B131" t="s">
        <v>256</v>
      </c>
      <c r="C131" t="s">
        <v>240</v>
      </c>
      <c r="D131">
        <v>100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25</v>
      </c>
      <c r="N131">
        <v>1</v>
      </c>
      <c r="O131">
        <v>27</v>
      </c>
      <c r="P131">
        <v>9</v>
      </c>
      <c r="Q131">
        <v>0</v>
      </c>
      <c r="R131">
        <v>0</v>
      </c>
      <c r="S131">
        <v>27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 x14ac:dyDescent="0.3">
      <c r="A132" t="s">
        <v>232</v>
      </c>
      <c r="B132" t="s">
        <v>257</v>
      </c>
      <c r="C132" t="s">
        <v>258</v>
      </c>
      <c r="D132">
        <v>100</v>
      </c>
      <c r="E132">
        <v>20</v>
      </c>
      <c r="F132">
        <v>2.5</v>
      </c>
      <c r="G132">
        <v>4</v>
      </c>
      <c r="H132">
        <v>1.5</v>
      </c>
      <c r="I132">
        <v>8</v>
      </c>
      <c r="J132">
        <v>0</v>
      </c>
      <c r="K132">
        <v>10</v>
      </c>
      <c r="L132">
        <v>3</v>
      </c>
      <c r="M132">
        <v>125</v>
      </c>
      <c r="N132">
        <v>5</v>
      </c>
      <c r="O132">
        <v>12</v>
      </c>
      <c r="P132">
        <v>4</v>
      </c>
      <c r="Q132">
        <v>0</v>
      </c>
      <c r="R132">
        <v>0</v>
      </c>
      <c r="S132">
        <v>12</v>
      </c>
      <c r="T132">
        <v>8</v>
      </c>
      <c r="U132">
        <v>10</v>
      </c>
      <c r="V132">
        <v>4</v>
      </c>
      <c r="W132">
        <v>30</v>
      </c>
      <c r="X132">
        <v>0</v>
      </c>
    </row>
    <row r="133" spans="1:24" x14ac:dyDescent="0.3">
      <c r="A133" t="s">
        <v>232</v>
      </c>
      <c r="B133" t="s">
        <v>259</v>
      </c>
      <c r="C133" t="s">
        <v>258</v>
      </c>
      <c r="D133">
        <v>130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5</v>
      </c>
      <c r="L133">
        <v>2</v>
      </c>
      <c r="M133">
        <v>135</v>
      </c>
      <c r="N133">
        <v>6</v>
      </c>
      <c r="O133">
        <v>23</v>
      </c>
      <c r="P133">
        <v>8</v>
      </c>
      <c r="Q133">
        <v>1</v>
      </c>
      <c r="R133">
        <v>2</v>
      </c>
      <c r="S133">
        <v>22</v>
      </c>
      <c r="T133">
        <v>9</v>
      </c>
      <c r="U133">
        <v>10</v>
      </c>
      <c r="V133">
        <v>0</v>
      </c>
      <c r="W133">
        <v>30</v>
      </c>
      <c r="X133">
        <v>8</v>
      </c>
    </row>
    <row r="134" spans="1:24" x14ac:dyDescent="0.3">
      <c r="A134" t="s">
        <v>232</v>
      </c>
      <c r="B134" t="s">
        <v>260</v>
      </c>
      <c r="C134" t="s">
        <v>261</v>
      </c>
      <c r="D134">
        <v>80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15</v>
      </c>
      <c r="N134">
        <v>1</v>
      </c>
      <c r="O134">
        <v>21</v>
      </c>
      <c r="P134">
        <v>7</v>
      </c>
      <c r="Q134">
        <v>0</v>
      </c>
      <c r="R134">
        <v>0</v>
      </c>
      <c r="S134">
        <v>19</v>
      </c>
      <c r="T134">
        <v>0</v>
      </c>
      <c r="U134">
        <v>0</v>
      </c>
      <c r="V134">
        <v>100</v>
      </c>
      <c r="W134">
        <v>10</v>
      </c>
      <c r="X134">
        <v>0</v>
      </c>
    </row>
    <row r="135" spans="1:24" x14ac:dyDescent="0.3">
      <c r="A135" t="s">
        <v>232</v>
      </c>
      <c r="B135" t="s">
        <v>262</v>
      </c>
      <c r="C135" t="s">
        <v>240</v>
      </c>
      <c r="D135">
        <v>150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34</v>
      </c>
      <c r="P135">
        <v>11</v>
      </c>
      <c r="Q135">
        <v>0</v>
      </c>
      <c r="R135">
        <v>0</v>
      </c>
      <c r="S135">
        <v>30</v>
      </c>
      <c r="T135">
        <v>2</v>
      </c>
      <c r="U135">
        <v>0</v>
      </c>
      <c r="V135">
        <v>130</v>
      </c>
      <c r="W135">
        <v>2</v>
      </c>
      <c r="X135">
        <v>0</v>
      </c>
    </row>
    <row r="136" spans="1:24" x14ac:dyDescent="0.3">
      <c r="A136" t="s">
        <v>232</v>
      </c>
      <c r="B136" t="s">
        <v>263</v>
      </c>
      <c r="C136" t="s">
        <v>234</v>
      </c>
      <c r="D136">
        <v>190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44</v>
      </c>
      <c r="P136">
        <v>15</v>
      </c>
      <c r="Q136">
        <v>0</v>
      </c>
      <c r="R136">
        <v>0</v>
      </c>
      <c r="S136">
        <v>39</v>
      </c>
      <c r="T136">
        <v>3</v>
      </c>
      <c r="U136">
        <v>0</v>
      </c>
      <c r="V136">
        <v>160</v>
      </c>
      <c r="W136">
        <v>4</v>
      </c>
      <c r="X136">
        <v>0</v>
      </c>
    </row>
    <row r="137" spans="1:24" x14ac:dyDescent="0.3">
      <c r="A137" t="s">
        <v>232</v>
      </c>
      <c r="B137" t="s">
        <v>264</v>
      </c>
      <c r="C137" t="s">
        <v>265</v>
      </c>
      <c r="D137">
        <v>280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5</v>
      </c>
      <c r="N137">
        <v>0</v>
      </c>
      <c r="O137">
        <v>65</v>
      </c>
      <c r="P137">
        <v>22</v>
      </c>
      <c r="Q137">
        <v>0</v>
      </c>
      <c r="R137">
        <v>0</v>
      </c>
      <c r="S137">
        <v>58</v>
      </c>
      <c r="T137">
        <v>4</v>
      </c>
      <c r="U137">
        <v>0</v>
      </c>
      <c r="V137">
        <v>240</v>
      </c>
      <c r="W137">
        <v>4</v>
      </c>
      <c r="X137">
        <v>0</v>
      </c>
    </row>
    <row r="138" spans="1:24" x14ac:dyDescent="0.3">
      <c r="A138" t="s">
        <v>232</v>
      </c>
      <c r="B138" t="s">
        <v>266</v>
      </c>
      <c r="C138" t="s">
        <v>267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 x14ac:dyDescent="0.3">
      <c r="A139" t="s">
        <v>268</v>
      </c>
      <c r="B139" t="s">
        <v>269</v>
      </c>
      <c r="C139" t="s">
        <v>234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 x14ac:dyDescent="0.3">
      <c r="A140" t="s">
        <v>268</v>
      </c>
      <c r="B140" t="s">
        <v>270</v>
      </c>
      <c r="C140" t="s">
        <v>236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 x14ac:dyDescent="0.3">
      <c r="A141" t="s">
        <v>268</v>
      </c>
      <c r="B141" t="s">
        <v>271</v>
      </c>
      <c r="C141" t="s">
        <v>238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15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x14ac:dyDescent="0.3">
      <c r="A142" t="s">
        <v>268</v>
      </c>
      <c r="B142" t="s">
        <v>272</v>
      </c>
      <c r="C142" t="s">
        <v>240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 x14ac:dyDescent="0.3">
      <c r="A143" t="s">
        <v>268</v>
      </c>
      <c r="B143" t="s">
        <v>273</v>
      </c>
      <c r="C143" t="s">
        <v>234</v>
      </c>
      <c r="D143">
        <v>150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10</v>
      </c>
      <c r="N143">
        <v>0</v>
      </c>
      <c r="O143">
        <v>36</v>
      </c>
      <c r="P143">
        <v>12</v>
      </c>
      <c r="Q143">
        <v>0</v>
      </c>
      <c r="R143">
        <v>0</v>
      </c>
      <c r="S143">
        <v>36</v>
      </c>
      <c r="T143">
        <v>1</v>
      </c>
      <c r="U143">
        <v>0</v>
      </c>
      <c r="V143">
        <v>0</v>
      </c>
      <c r="W143">
        <v>0</v>
      </c>
      <c r="X143">
        <v>0</v>
      </c>
    </row>
    <row r="144" spans="1:24" x14ac:dyDescent="0.3">
      <c r="A144" t="s">
        <v>268</v>
      </c>
      <c r="B144" t="s">
        <v>274</v>
      </c>
      <c r="C144" t="s">
        <v>236</v>
      </c>
      <c r="D144">
        <v>180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10</v>
      </c>
      <c r="N144">
        <v>0</v>
      </c>
      <c r="O144">
        <v>45</v>
      </c>
      <c r="P144">
        <v>15</v>
      </c>
      <c r="Q144">
        <v>0</v>
      </c>
      <c r="R144">
        <v>0</v>
      </c>
      <c r="S144">
        <v>45</v>
      </c>
      <c r="T144">
        <v>1</v>
      </c>
      <c r="U144">
        <v>0</v>
      </c>
      <c r="V144">
        <v>0</v>
      </c>
      <c r="W144">
        <v>0</v>
      </c>
      <c r="X144">
        <v>0</v>
      </c>
    </row>
    <row r="145" spans="1:24" x14ac:dyDescent="0.3">
      <c r="A145" t="s">
        <v>268</v>
      </c>
      <c r="B145" t="s">
        <v>275</v>
      </c>
      <c r="C145" t="s">
        <v>238</v>
      </c>
      <c r="D145">
        <v>220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10</v>
      </c>
      <c r="N145">
        <v>1</v>
      </c>
      <c r="O145">
        <v>54</v>
      </c>
      <c r="P145">
        <v>18</v>
      </c>
      <c r="Q145">
        <v>0</v>
      </c>
      <c r="R145">
        <v>0</v>
      </c>
      <c r="S145">
        <v>54</v>
      </c>
      <c r="T145">
        <v>1</v>
      </c>
      <c r="U145">
        <v>0</v>
      </c>
      <c r="V145">
        <v>0</v>
      </c>
      <c r="W145">
        <v>0</v>
      </c>
      <c r="X145">
        <v>0</v>
      </c>
    </row>
    <row r="146" spans="1:24" x14ac:dyDescent="0.3">
      <c r="A146" t="s">
        <v>268</v>
      </c>
      <c r="B146" t="s">
        <v>276</v>
      </c>
      <c r="C146" t="s">
        <v>240</v>
      </c>
      <c r="D146">
        <v>110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5</v>
      </c>
      <c r="N146">
        <v>0</v>
      </c>
      <c r="O146">
        <v>27</v>
      </c>
      <c r="P146">
        <v>9</v>
      </c>
      <c r="Q146">
        <v>0</v>
      </c>
      <c r="R146">
        <v>0</v>
      </c>
      <c r="S146">
        <v>27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 x14ac:dyDescent="0.3">
      <c r="A147" t="s">
        <v>268</v>
      </c>
      <c r="B147" t="s">
        <v>277</v>
      </c>
      <c r="C147" t="s">
        <v>240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 x14ac:dyDescent="0.3">
      <c r="A148" t="s">
        <v>268</v>
      </c>
      <c r="B148" t="s">
        <v>278</v>
      </c>
      <c r="C148" t="s">
        <v>234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 x14ac:dyDescent="0.3">
      <c r="A149" t="s">
        <v>268</v>
      </c>
      <c r="B149" t="s">
        <v>279</v>
      </c>
      <c r="C149" t="s">
        <v>234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 x14ac:dyDescent="0.3">
      <c r="A150" t="s">
        <v>268</v>
      </c>
      <c r="B150" t="s">
        <v>280</v>
      </c>
      <c r="C150" t="s">
        <v>240</v>
      </c>
      <c r="D150">
        <v>170</v>
      </c>
      <c r="E150">
        <v>80</v>
      </c>
      <c r="F150">
        <v>9</v>
      </c>
      <c r="G150">
        <v>13</v>
      </c>
      <c r="H150">
        <v>5</v>
      </c>
      <c r="I150">
        <v>24</v>
      </c>
      <c r="J150">
        <v>0</v>
      </c>
      <c r="K150">
        <v>25</v>
      </c>
      <c r="L150">
        <v>9</v>
      </c>
      <c r="M150">
        <v>115</v>
      </c>
      <c r="N150">
        <v>5</v>
      </c>
      <c r="O150">
        <v>15</v>
      </c>
      <c r="P150">
        <v>5</v>
      </c>
      <c r="Q150">
        <v>1</v>
      </c>
      <c r="R150">
        <v>3</v>
      </c>
      <c r="S150">
        <v>12</v>
      </c>
      <c r="T150">
        <v>9</v>
      </c>
      <c r="U150">
        <v>8</v>
      </c>
      <c r="V150">
        <v>0</v>
      </c>
      <c r="W150">
        <v>30</v>
      </c>
      <c r="X150">
        <v>0</v>
      </c>
    </row>
    <row r="151" spans="1:24" x14ac:dyDescent="0.3">
      <c r="A151" t="s">
        <v>268</v>
      </c>
      <c r="B151" t="s">
        <v>281</v>
      </c>
      <c r="C151" t="s">
        <v>234</v>
      </c>
      <c r="D151">
        <v>210</v>
      </c>
      <c r="E151">
        <v>90</v>
      </c>
      <c r="F151">
        <v>10</v>
      </c>
      <c r="G151">
        <v>16</v>
      </c>
      <c r="H151">
        <v>6</v>
      </c>
      <c r="I151">
        <v>30</v>
      </c>
      <c r="J151">
        <v>0</v>
      </c>
      <c r="K151">
        <v>30</v>
      </c>
      <c r="L151">
        <v>11</v>
      </c>
      <c r="M151">
        <v>140</v>
      </c>
      <c r="N151">
        <v>6</v>
      </c>
      <c r="O151">
        <v>18</v>
      </c>
      <c r="P151">
        <v>6</v>
      </c>
      <c r="Q151">
        <v>1</v>
      </c>
      <c r="R151">
        <v>4</v>
      </c>
      <c r="S151">
        <v>15</v>
      </c>
      <c r="T151">
        <v>11</v>
      </c>
      <c r="U151">
        <v>10</v>
      </c>
      <c r="V151">
        <v>0</v>
      </c>
      <c r="W151">
        <v>35</v>
      </c>
      <c r="X151">
        <v>0</v>
      </c>
    </row>
    <row r="152" spans="1:24" x14ac:dyDescent="0.3">
      <c r="A152" t="s">
        <v>268</v>
      </c>
      <c r="B152" t="s">
        <v>282</v>
      </c>
      <c r="C152" t="s">
        <v>283</v>
      </c>
      <c r="D152">
        <v>280</v>
      </c>
      <c r="E152">
        <v>120</v>
      </c>
      <c r="F152">
        <v>14</v>
      </c>
      <c r="G152">
        <v>21</v>
      </c>
      <c r="H152">
        <v>8</v>
      </c>
      <c r="I152">
        <v>39</v>
      </c>
      <c r="J152">
        <v>0</v>
      </c>
      <c r="K152">
        <v>40</v>
      </c>
      <c r="L152">
        <v>14</v>
      </c>
      <c r="M152">
        <v>180</v>
      </c>
      <c r="N152">
        <v>8</v>
      </c>
      <c r="O152">
        <v>24</v>
      </c>
      <c r="P152">
        <v>8</v>
      </c>
      <c r="Q152">
        <v>1</v>
      </c>
      <c r="R152">
        <v>6</v>
      </c>
      <c r="S152">
        <v>20</v>
      </c>
      <c r="T152">
        <v>15</v>
      </c>
      <c r="U152">
        <v>15</v>
      </c>
      <c r="V152">
        <v>0</v>
      </c>
      <c r="W152">
        <v>50</v>
      </c>
      <c r="X152">
        <v>2</v>
      </c>
    </row>
    <row r="153" spans="1:24" x14ac:dyDescent="0.3">
      <c r="A153" t="s">
        <v>268</v>
      </c>
      <c r="B153" t="s">
        <v>284</v>
      </c>
      <c r="C153" t="s">
        <v>240</v>
      </c>
      <c r="D153">
        <v>270</v>
      </c>
      <c r="E153">
        <v>80</v>
      </c>
      <c r="F153">
        <v>9</v>
      </c>
      <c r="G153">
        <v>13</v>
      </c>
      <c r="H153">
        <v>5</v>
      </c>
      <c r="I153">
        <v>24</v>
      </c>
      <c r="J153">
        <v>0</v>
      </c>
      <c r="K153">
        <v>25</v>
      </c>
      <c r="L153">
        <v>9</v>
      </c>
      <c r="M153">
        <v>115</v>
      </c>
      <c r="N153">
        <v>5</v>
      </c>
      <c r="O153">
        <v>40</v>
      </c>
      <c r="P153">
        <v>13</v>
      </c>
      <c r="Q153">
        <v>1</v>
      </c>
      <c r="R153">
        <v>3</v>
      </c>
      <c r="S153">
        <v>38</v>
      </c>
      <c r="T153">
        <v>9</v>
      </c>
      <c r="U153">
        <v>8</v>
      </c>
      <c r="V153">
        <v>0</v>
      </c>
      <c r="W153">
        <v>30</v>
      </c>
      <c r="X153">
        <v>0</v>
      </c>
    </row>
    <row r="154" spans="1:24" x14ac:dyDescent="0.3">
      <c r="A154" t="s">
        <v>268</v>
      </c>
      <c r="B154" t="s">
        <v>285</v>
      </c>
      <c r="C154" t="s">
        <v>234</v>
      </c>
      <c r="D154">
        <v>340</v>
      </c>
      <c r="E154">
        <v>90</v>
      </c>
      <c r="F154">
        <v>10</v>
      </c>
      <c r="G154">
        <v>16</v>
      </c>
      <c r="H154">
        <v>6</v>
      </c>
      <c r="I154">
        <v>30</v>
      </c>
      <c r="J154">
        <v>0</v>
      </c>
      <c r="K154">
        <v>30</v>
      </c>
      <c r="L154">
        <v>11</v>
      </c>
      <c r="M154">
        <v>140</v>
      </c>
      <c r="N154">
        <v>6</v>
      </c>
      <c r="O154">
        <v>50</v>
      </c>
      <c r="P154">
        <v>17</v>
      </c>
      <c r="Q154">
        <v>1</v>
      </c>
      <c r="R154">
        <v>4</v>
      </c>
      <c r="S154">
        <v>48</v>
      </c>
      <c r="T154">
        <v>11</v>
      </c>
      <c r="U154">
        <v>10</v>
      </c>
      <c r="V154">
        <v>0</v>
      </c>
      <c r="W154">
        <v>35</v>
      </c>
      <c r="X154">
        <v>0</v>
      </c>
    </row>
    <row r="155" spans="1:24" x14ac:dyDescent="0.3">
      <c r="A155" t="s">
        <v>268</v>
      </c>
      <c r="B155" t="s">
        <v>286</v>
      </c>
      <c r="C155" t="s">
        <v>283</v>
      </c>
      <c r="D155">
        <v>430</v>
      </c>
      <c r="E155">
        <v>120</v>
      </c>
      <c r="F155">
        <v>14</v>
      </c>
      <c r="G155">
        <v>21</v>
      </c>
      <c r="H155">
        <v>8</v>
      </c>
      <c r="I155">
        <v>39</v>
      </c>
      <c r="J155">
        <v>0</v>
      </c>
      <c r="K155">
        <v>40</v>
      </c>
      <c r="L155">
        <v>14</v>
      </c>
      <c r="M155">
        <v>180</v>
      </c>
      <c r="N155">
        <v>8</v>
      </c>
      <c r="O155">
        <v>62</v>
      </c>
      <c r="P155">
        <v>21</v>
      </c>
      <c r="Q155">
        <v>1</v>
      </c>
      <c r="R155">
        <v>6</v>
      </c>
      <c r="S155">
        <v>59</v>
      </c>
      <c r="T155">
        <v>15</v>
      </c>
      <c r="U155">
        <v>15</v>
      </c>
      <c r="V155">
        <v>0</v>
      </c>
      <c r="W155">
        <v>50</v>
      </c>
      <c r="X155">
        <v>2</v>
      </c>
    </row>
    <row r="156" spans="1:24" x14ac:dyDescent="0.3">
      <c r="A156" t="s">
        <v>268</v>
      </c>
      <c r="B156" t="s">
        <v>287</v>
      </c>
      <c r="C156" t="s">
        <v>240</v>
      </c>
      <c r="D156">
        <v>270</v>
      </c>
      <c r="E156">
        <v>80</v>
      </c>
      <c r="F156">
        <v>9</v>
      </c>
      <c r="G156">
        <v>13</v>
      </c>
      <c r="H156">
        <v>5</v>
      </c>
      <c r="I156">
        <v>24</v>
      </c>
      <c r="J156">
        <v>0</v>
      </c>
      <c r="K156">
        <v>25</v>
      </c>
      <c r="L156">
        <v>9</v>
      </c>
      <c r="M156">
        <v>115</v>
      </c>
      <c r="N156">
        <v>5</v>
      </c>
      <c r="O156">
        <v>40</v>
      </c>
      <c r="P156">
        <v>13</v>
      </c>
      <c r="Q156">
        <v>1</v>
      </c>
      <c r="R156">
        <v>3</v>
      </c>
      <c r="S156">
        <v>38</v>
      </c>
      <c r="T156">
        <v>9</v>
      </c>
      <c r="U156">
        <v>8</v>
      </c>
      <c r="V156">
        <v>0</v>
      </c>
      <c r="W156">
        <v>30</v>
      </c>
      <c r="X156">
        <v>0</v>
      </c>
    </row>
    <row r="157" spans="1:24" x14ac:dyDescent="0.3">
      <c r="A157" t="s">
        <v>268</v>
      </c>
      <c r="B157" t="s">
        <v>288</v>
      </c>
      <c r="C157" t="s">
        <v>234</v>
      </c>
      <c r="D157">
        <v>330</v>
      </c>
      <c r="E157">
        <v>90</v>
      </c>
      <c r="F157">
        <v>10</v>
      </c>
      <c r="G157">
        <v>16</v>
      </c>
      <c r="H157">
        <v>6</v>
      </c>
      <c r="I157">
        <v>30</v>
      </c>
      <c r="J157">
        <v>0</v>
      </c>
      <c r="K157">
        <v>30</v>
      </c>
      <c r="L157">
        <v>11</v>
      </c>
      <c r="M157">
        <v>140</v>
      </c>
      <c r="N157">
        <v>6</v>
      </c>
      <c r="O157">
        <v>50</v>
      </c>
      <c r="P157">
        <v>17</v>
      </c>
      <c r="Q157">
        <v>1</v>
      </c>
      <c r="R157">
        <v>4</v>
      </c>
      <c r="S157">
        <v>47</v>
      </c>
      <c r="T157">
        <v>11</v>
      </c>
      <c r="U157">
        <v>10</v>
      </c>
      <c r="V157">
        <v>0</v>
      </c>
      <c r="W157">
        <v>35</v>
      </c>
      <c r="X157">
        <v>0</v>
      </c>
    </row>
    <row r="158" spans="1:24" x14ac:dyDescent="0.3">
      <c r="A158" t="s">
        <v>268</v>
      </c>
      <c r="B158" t="s">
        <v>289</v>
      </c>
      <c r="C158" t="s">
        <v>283</v>
      </c>
      <c r="D158">
        <v>430</v>
      </c>
      <c r="E158">
        <v>120</v>
      </c>
      <c r="F158">
        <v>14</v>
      </c>
      <c r="G158">
        <v>21</v>
      </c>
      <c r="H158">
        <v>8</v>
      </c>
      <c r="I158">
        <v>39</v>
      </c>
      <c r="J158">
        <v>0</v>
      </c>
      <c r="K158">
        <v>40</v>
      </c>
      <c r="L158">
        <v>14</v>
      </c>
      <c r="M158">
        <v>180</v>
      </c>
      <c r="N158">
        <v>8</v>
      </c>
      <c r="O158">
        <v>62</v>
      </c>
      <c r="P158">
        <v>21</v>
      </c>
      <c r="Q158">
        <v>1</v>
      </c>
      <c r="R158">
        <v>6</v>
      </c>
      <c r="S158">
        <v>58</v>
      </c>
      <c r="T158">
        <v>15</v>
      </c>
      <c r="U158">
        <v>15</v>
      </c>
      <c r="V158">
        <v>0</v>
      </c>
      <c r="W158">
        <v>50</v>
      </c>
      <c r="X158">
        <v>2</v>
      </c>
    </row>
    <row r="159" spans="1:24" x14ac:dyDescent="0.3">
      <c r="A159" t="s">
        <v>268</v>
      </c>
      <c r="B159" t="s">
        <v>290</v>
      </c>
      <c r="C159" t="s">
        <v>240</v>
      </c>
      <c r="D159">
        <v>260</v>
      </c>
      <c r="E159">
        <v>80</v>
      </c>
      <c r="F159">
        <v>9</v>
      </c>
      <c r="G159">
        <v>13</v>
      </c>
      <c r="H159">
        <v>5</v>
      </c>
      <c r="I159">
        <v>24</v>
      </c>
      <c r="J159">
        <v>0</v>
      </c>
      <c r="K159">
        <v>25</v>
      </c>
      <c r="L159">
        <v>9</v>
      </c>
      <c r="M159">
        <v>115</v>
      </c>
      <c r="N159">
        <v>5</v>
      </c>
      <c r="O159">
        <v>38</v>
      </c>
      <c r="P159">
        <v>13</v>
      </c>
      <c r="Q159">
        <v>1</v>
      </c>
      <c r="R159">
        <v>3</v>
      </c>
      <c r="S159">
        <v>36</v>
      </c>
      <c r="T159">
        <v>9</v>
      </c>
      <c r="U159">
        <v>8</v>
      </c>
      <c r="V159">
        <v>0</v>
      </c>
      <c r="W159">
        <v>30</v>
      </c>
      <c r="X159">
        <v>0</v>
      </c>
    </row>
    <row r="160" spans="1:24" x14ac:dyDescent="0.3">
      <c r="A160" t="s">
        <v>268</v>
      </c>
      <c r="B160" t="s">
        <v>291</v>
      </c>
      <c r="C160" t="s">
        <v>234</v>
      </c>
      <c r="D160">
        <v>330</v>
      </c>
      <c r="E160">
        <v>90</v>
      </c>
      <c r="F160">
        <v>10</v>
      </c>
      <c r="G160">
        <v>16</v>
      </c>
      <c r="H160">
        <v>6</v>
      </c>
      <c r="I160">
        <v>30</v>
      </c>
      <c r="J160">
        <v>0</v>
      </c>
      <c r="K160">
        <v>30</v>
      </c>
      <c r="L160">
        <v>11</v>
      </c>
      <c r="M160">
        <v>140</v>
      </c>
      <c r="N160">
        <v>6</v>
      </c>
      <c r="O160">
        <v>48</v>
      </c>
      <c r="P160">
        <v>16</v>
      </c>
      <c r="Q160">
        <v>1</v>
      </c>
      <c r="R160">
        <v>4</v>
      </c>
      <c r="S160">
        <v>45</v>
      </c>
      <c r="T160">
        <v>11</v>
      </c>
      <c r="U160">
        <v>10</v>
      </c>
      <c r="V160">
        <v>0</v>
      </c>
      <c r="W160">
        <v>35</v>
      </c>
      <c r="X160">
        <v>2</v>
      </c>
    </row>
    <row r="161" spans="1:24" x14ac:dyDescent="0.3">
      <c r="A161" t="s">
        <v>268</v>
      </c>
      <c r="B161" t="s">
        <v>292</v>
      </c>
      <c r="C161" t="s">
        <v>283</v>
      </c>
      <c r="D161">
        <v>420</v>
      </c>
      <c r="E161">
        <v>120</v>
      </c>
      <c r="F161">
        <v>14</v>
      </c>
      <c r="G161">
        <v>21</v>
      </c>
      <c r="H161">
        <v>8</v>
      </c>
      <c r="I161">
        <v>39</v>
      </c>
      <c r="J161">
        <v>0</v>
      </c>
      <c r="K161">
        <v>40</v>
      </c>
      <c r="L161">
        <v>14</v>
      </c>
      <c r="M161">
        <v>190</v>
      </c>
      <c r="N161">
        <v>8</v>
      </c>
      <c r="O161">
        <v>60</v>
      </c>
      <c r="P161">
        <v>20</v>
      </c>
      <c r="Q161">
        <v>1</v>
      </c>
      <c r="R161">
        <v>6</v>
      </c>
      <c r="S161">
        <v>56</v>
      </c>
      <c r="T161">
        <v>15</v>
      </c>
      <c r="U161">
        <v>15</v>
      </c>
      <c r="V161">
        <v>0</v>
      </c>
      <c r="W161">
        <v>50</v>
      </c>
      <c r="X161">
        <v>2</v>
      </c>
    </row>
    <row r="162" spans="1:24" x14ac:dyDescent="0.3">
      <c r="A162" t="s">
        <v>268</v>
      </c>
      <c r="B162" t="s">
        <v>293</v>
      </c>
      <c r="C162" t="s">
        <v>240</v>
      </c>
      <c r="D162">
        <v>210</v>
      </c>
      <c r="E162">
        <v>80</v>
      </c>
      <c r="F162">
        <v>9</v>
      </c>
      <c r="G162">
        <v>13</v>
      </c>
      <c r="H162">
        <v>5</v>
      </c>
      <c r="I162">
        <v>24</v>
      </c>
      <c r="J162">
        <v>0</v>
      </c>
      <c r="K162">
        <v>25</v>
      </c>
      <c r="L162">
        <v>9</v>
      </c>
      <c r="M162">
        <v>150</v>
      </c>
      <c r="N162">
        <v>6</v>
      </c>
      <c r="O162">
        <v>24</v>
      </c>
      <c r="P162">
        <v>8</v>
      </c>
      <c r="Q162">
        <v>1</v>
      </c>
      <c r="R162">
        <v>4</v>
      </c>
      <c r="S162">
        <v>12</v>
      </c>
      <c r="T162">
        <v>9</v>
      </c>
      <c r="U162">
        <v>8</v>
      </c>
      <c r="V162">
        <v>0</v>
      </c>
      <c r="W162">
        <v>30</v>
      </c>
      <c r="X162">
        <v>0</v>
      </c>
    </row>
    <row r="163" spans="1:24" x14ac:dyDescent="0.3">
      <c r="A163" t="s">
        <v>268</v>
      </c>
      <c r="B163" t="s">
        <v>294</v>
      </c>
      <c r="C163" t="s">
        <v>234</v>
      </c>
      <c r="D163">
        <v>260</v>
      </c>
      <c r="E163">
        <v>90</v>
      </c>
      <c r="F163">
        <v>10</v>
      </c>
      <c r="G163">
        <v>16</v>
      </c>
      <c r="H163">
        <v>6</v>
      </c>
      <c r="I163">
        <v>30</v>
      </c>
      <c r="J163">
        <v>0</v>
      </c>
      <c r="K163">
        <v>30</v>
      </c>
      <c r="L163">
        <v>11</v>
      </c>
      <c r="M163">
        <v>190</v>
      </c>
      <c r="N163">
        <v>8</v>
      </c>
      <c r="O163">
        <v>29</v>
      </c>
      <c r="P163">
        <v>10</v>
      </c>
      <c r="Q163">
        <v>1</v>
      </c>
      <c r="R163">
        <v>5</v>
      </c>
      <c r="S163">
        <v>15</v>
      </c>
      <c r="T163">
        <v>12</v>
      </c>
      <c r="U163">
        <v>10</v>
      </c>
      <c r="V163">
        <v>0</v>
      </c>
      <c r="W163">
        <v>35</v>
      </c>
      <c r="X163">
        <v>0</v>
      </c>
    </row>
    <row r="164" spans="1:24" x14ac:dyDescent="0.3">
      <c r="A164" t="s">
        <v>268</v>
      </c>
      <c r="B164" t="s">
        <v>295</v>
      </c>
      <c r="C164" t="s">
        <v>283</v>
      </c>
      <c r="D164">
        <v>330</v>
      </c>
      <c r="E164">
        <v>120</v>
      </c>
      <c r="F164">
        <v>14</v>
      </c>
      <c r="G164">
        <v>21</v>
      </c>
      <c r="H164">
        <v>8</v>
      </c>
      <c r="I164">
        <v>39</v>
      </c>
      <c r="J164">
        <v>0</v>
      </c>
      <c r="K164">
        <v>40</v>
      </c>
      <c r="L164">
        <v>14</v>
      </c>
      <c r="M164">
        <v>240</v>
      </c>
      <c r="N164">
        <v>10</v>
      </c>
      <c r="O164">
        <v>37</v>
      </c>
      <c r="P164">
        <v>12</v>
      </c>
      <c r="Q164">
        <v>2</v>
      </c>
      <c r="R164">
        <v>7</v>
      </c>
      <c r="S164">
        <v>20</v>
      </c>
      <c r="T164">
        <v>15</v>
      </c>
      <c r="U164">
        <v>15</v>
      </c>
      <c r="V164">
        <v>0</v>
      </c>
      <c r="W164">
        <v>50</v>
      </c>
      <c r="X164">
        <v>2</v>
      </c>
    </row>
    <row r="165" spans="1:24" x14ac:dyDescent="0.3">
      <c r="A165" t="s">
        <v>268</v>
      </c>
      <c r="B165" t="s">
        <v>296</v>
      </c>
      <c r="C165" t="s">
        <v>240</v>
      </c>
      <c r="D165">
        <v>100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5</v>
      </c>
      <c r="L165">
        <v>2</v>
      </c>
      <c r="M165">
        <v>110</v>
      </c>
      <c r="N165">
        <v>5</v>
      </c>
      <c r="O165">
        <v>15</v>
      </c>
      <c r="P165">
        <v>5</v>
      </c>
      <c r="Q165">
        <v>1</v>
      </c>
      <c r="R165">
        <v>3</v>
      </c>
      <c r="S165">
        <v>13</v>
      </c>
      <c r="T165">
        <v>10</v>
      </c>
      <c r="U165">
        <v>10</v>
      </c>
      <c r="V165">
        <v>0</v>
      </c>
      <c r="W165">
        <v>30</v>
      </c>
      <c r="X165">
        <v>0</v>
      </c>
    </row>
    <row r="166" spans="1:24" x14ac:dyDescent="0.3">
      <c r="A166" t="s">
        <v>268</v>
      </c>
      <c r="B166" t="s">
        <v>297</v>
      </c>
      <c r="C166" t="s">
        <v>234</v>
      </c>
      <c r="D166">
        <v>130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5</v>
      </c>
      <c r="L166">
        <v>2</v>
      </c>
      <c r="M166">
        <v>135</v>
      </c>
      <c r="N166">
        <v>6</v>
      </c>
      <c r="O166">
        <v>19</v>
      </c>
      <c r="P166">
        <v>6</v>
      </c>
      <c r="Q166">
        <v>1</v>
      </c>
      <c r="R166">
        <v>4</v>
      </c>
      <c r="S166">
        <v>16</v>
      </c>
      <c r="T166">
        <v>12</v>
      </c>
      <c r="U166">
        <v>15</v>
      </c>
      <c r="V166">
        <v>0</v>
      </c>
      <c r="W166">
        <v>40</v>
      </c>
      <c r="X166">
        <v>0</v>
      </c>
    </row>
    <row r="167" spans="1:24" x14ac:dyDescent="0.3">
      <c r="A167" t="s">
        <v>268</v>
      </c>
      <c r="B167" t="s">
        <v>298</v>
      </c>
      <c r="C167" t="s">
        <v>283</v>
      </c>
      <c r="D167">
        <v>170</v>
      </c>
      <c r="E167">
        <v>0</v>
      </c>
      <c r="F167">
        <v>0.5</v>
      </c>
      <c r="G167">
        <v>1</v>
      </c>
      <c r="H167">
        <v>0</v>
      </c>
      <c r="I167">
        <v>0</v>
      </c>
      <c r="J167">
        <v>0</v>
      </c>
      <c r="K167">
        <v>10</v>
      </c>
      <c r="L167">
        <v>3</v>
      </c>
      <c r="M167">
        <v>180</v>
      </c>
      <c r="N167">
        <v>7</v>
      </c>
      <c r="O167">
        <v>25</v>
      </c>
      <c r="P167">
        <v>8</v>
      </c>
      <c r="Q167">
        <v>1</v>
      </c>
      <c r="R167">
        <v>6</v>
      </c>
      <c r="S167">
        <v>21</v>
      </c>
      <c r="T167">
        <v>16</v>
      </c>
      <c r="U167">
        <v>15</v>
      </c>
      <c r="V167">
        <v>0</v>
      </c>
      <c r="W167">
        <v>50</v>
      </c>
      <c r="X167">
        <v>2</v>
      </c>
    </row>
    <row r="168" spans="1:24" x14ac:dyDescent="0.3">
      <c r="A168" t="s">
        <v>268</v>
      </c>
      <c r="B168" t="s">
        <v>299</v>
      </c>
      <c r="C168" t="s">
        <v>240</v>
      </c>
      <c r="D168">
        <v>200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5</v>
      </c>
      <c r="L168">
        <v>2</v>
      </c>
      <c r="M168">
        <v>110</v>
      </c>
      <c r="N168">
        <v>5</v>
      </c>
      <c r="O168">
        <v>41</v>
      </c>
      <c r="P168">
        <v>14</v>
      </c>
      <c r="Q168">
        <v>1</v>
      </c>
      <c r="R168">
        <v>3</v>
      </c>
      <c r="S168">
        <v>39</v>
      </c>
      <c r="T168">
        <v>10</v>
      </c>
      <c r="U168">
        <v>10</v>
      </c>
      <c r="V168">
        <v>0</v>
      </c>
      <c r="W168">
        <v>30</v>
      </c>
      <c r="X168">
        <v>0</v>
      </c>
    </row>
    <row r="169" spans="1:24" x14ac:dyDescent="0.3">
      <c r="A169" t="s">
        <v>268</v>
      </c>
      <c r="B169" t="s">
        <v>300</v>
      </c>
      <c r="C169" t="s">
        <v>234</v>
      </c>
      <c r="D169">
        <v>250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5</v>
      </c>
      <c r="L169">
        <v>2</v>
      </c>
      <c r="M169">
        <v>135</v>
      </c>
      <c r="N169">
        <v>6</v>
      </c>
      <c r="O169">
        <v>51</v>
      </c>
      <c r="P169">
        <v>17</v>
      </c>
      <c r="Q169">
        <v>1</v>
      </c>
      <c r="R169">
        <v>4</v>
      </c>
      <c r="S169">
        <v>48</v>
      </c>
      <c r="T169">
        <v>12</v>
      </c>
      <c r="U169">
        <v>15</v>
      </c>
      <c r="V169">
        <v>0</v>
      </c>
      <c r="W169">
        <v>40</v>
      </c>
      <c r="X169">
        <v>0</v>
      </c>
    </row>
    <row r="170" spans="1:24" x14ac:dyDescent="0.3">
      <c r="A170" t="s">
        <v>268</v>
      </c>
      <c r="B170" t="s">
        <v>301</v>
      </c>
      <c r="C170" t="s">
        <v>283</v>
      </c>
      <c r="D170">
        <v>310</v>
      </c>
      <c r="E170">
        <v>0</v>
      </c>
      <c r="F170">
        <v>0.5</v>
      </c>
      <c r="G170">
        <v>1</v>
      </c>
      <c r="H170">
        <v>0</v>
      </c>
      <c r="I170">
        <v>0</v>
      </c>
      <c r="J170">
        <v>0</v>
      </c>
      <c r="K170">
        <v>10</v>
      </c>
      <c r="L170">
        <v>3</v>
      </c>
      <c r="M170">
        <v>180</v>
      </c>
      <c r="N170">
        <v>7</v>
      </c>
      <c r="O170">
        <v>63</v>
      </c>
      <c r="P170">
        <v>21</v>
      </c>
      <c r="Q170">
        <v>1</v>
      </c>
      <c r="R170">
        <v>6</v>
      </c>
      <c r="S170">
        <v>59</v>
      </c>
      <c r="T170">
        <v>16</v>
      </c>
      <c r="U170">
        <v>15</v>
      </c>
      <c r="V170">
        <v>0</v>
      </c>
      <c r="W170">
        <v>50</v>
      </c>
      <c r="X170">
        <v>2</v>
      </c>
    </row>
    <row r="171" spans="1:24" x14ac:dyDescent="0.3">
      <c r="A171" t="s">
        <v>268</v>
      </c>
      <c r="B171" t="s">
        <v>302</v>
      </c>
      <c r="C171" t="s">
        <v>240</v>
      </c>
      <c r="D171">
        <v>200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5</v>
      </c>
      <c r="L171">
        <v>2</v>
      </c>
      <c r="M171">
        <v>110</v>
      </c>
      <c r="N171">
        <v>5</v>
      </c>
      <c r="O171">
        <v>40</v>
      </c>
      <c r="P171">
        <v>13</v>
      </c>
      <c r="Q171">
        <v>1</v>
      </c>
      <c r="R171">
        <v>3</v>
      </c>
      <c r="S171">
        <v>38</v>
      </c>
      <c r="T171">
        <v>10</v>
      </c>
      <c r="U171">
        <v>10</v>
      </c>
      <c r="V171">
        <v>0</v>
      </c>
      <c r="W171">
        <v>30</v>
      </c>
      <c r="X171">
        <v>0</v>
      </c>
    </row>
    <row r="172" spans="1:24" x14ac:dyDescent="0.3">
      <c r="A172" t="s">
        <v>268</v>
      </c>
      <c r="B172" t="s">
        <v>303</v>
      </c>
      <c r="C172" t="s">
        <v>234</v>
      </c>
      <c r="D172">
        <v>250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5</v>
      </c>
      <c r="L172">
        <v>2</v>
      </c>
      <c r="M172">
        <v>135</v>
      </c>
      <c r="N172">
        <v>6</v>
      </c>
      <c r="O172">
        <v>51</v>
      </c>
      <c r="P172">
        <v>17</v>
      </c>
      <c r="Q172">
        <v>1</v>
      </c>
      <c r="R172">
        <v>4</v>
      </c>
      <c r="S172">
        <v>48</v>
      </c>
      <c r="T172">
        <v>12</v>
      </c>
      <c r="U172">
        <v>15</v>
      </c>
      <c r="V172">
        <v>0</v>
      </c>
      <c r="W172">
        <v>40</v>
      </c>
      <c r="X172">
        <v>0</v>
      </c>
    </row>
    <row r="173" spans="1:24" x14ac:dyDescent="0.3">
      <c r="A173" t="s">
        <v>268</v>
      </c>
      <c r="B173" t="s">
        <v>304</v>
      </c>
      <c r="C173" t="s">
        <v>283</v>
      </c>
      <c r="D173">
        <v>310</v>
      </c>
      <c r="E173">
        <v>0</v>
      </c>
      <c r="F173">
        <v>0.5</v>
      </c>
      <c r="G173">
        <v>1</v>
      </c>
      <c r="H173">
        <v>0</v>
      </c>
      <c r="I173">
        <v>0</v>
      </c>
      <c r="J173">
        <v>0</v>
      </c>
      <c r="K173">
        <v>10</v>
      </c>
      <c r="L173">
        <v>3</v>
      </c>
      <c r="M173">
        <v>180</v>
      </c>
      <c r="N173">
        <v>7</v>
      </c>
      <c r="O173">
        <v>63</v>
      </c>
      <c r="P173">
        <v>21</v>
      </c>
      <c r="Q173">
        <v>1</v>
      </c>
      <c r="R173">
        <v>6</v>
      </c>
      <c r="S173">
        <v>59</v>
      </c>
      <c r="T173">
        <v>16</v>
      </c>
      <c r="U173">
        <v>15</v>
      </c>
      <c r="V173">
        <v>0</v>
      </c>
      <c r="W173">
        <v>50</v>
      </c>
      <c r="X173">
        <v>2</v>
      </c>
    </row>
    <row r="174" spans="1:24" x14ac:dyDescent="0.3">
      <c r="A174" t="s">
        <v>268</v>
      </c>
      <c r="B174" t="s">
        <v>305</v>
      </c>
      <c r="C174" t="s">
        <v>240</v>
      </c>
      <c r="D174">
        <v>190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5</v>
      </c>
      <c r="L174">
        <v>2</v>
      </c>
      <c r="M174">
        <v>115</v>
      </c>
      <c r="N174">
        <v>5</v>
      </c>
      <c r="O174">
        <v>39</v>
      </c>
      <c r="P174">
        <v>13</v>
      </c>
      <c r="Q174">
        <v>1</v>
      </c>
      <c r="R174">
        <v>3</v>
      </c>
      <c r="S174">
        <v>37</v>
      </c>
      <c r="T174">
        <v>10</v>
      </c>
      <c r="U174">
        <v>10</v>
      </c>
      <c r="V174">
        <v>0</v>
      </c>
      <c r="W174">
        <v>30</v>
      </c>
      <c r="X174">
        <v>0</v>
      </c>
    </row>
    <row r="175" spans="1:24" x14ac:dyDescent="0.3">
      <c r="A175" t="s">
        <v>268</v>
      </c>
      <c r="B175" t="s">
        <v>306</v>
      </c>
      <c r="C175" t="s">
        <v>234</v>
      </c>
      <c r="D175">
        <v>240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5</v>
      </c>
      <c r="L175">
        <v>2</v>
      </c>
      <c r="M175">
        <v>140</v>
      </c>
      <c r="N175">
        <v>6</v>
      </c>
      <c r="O175">
        <v>49</v>
      </c>
      <c r="P175">
        <v>16</v>
      </c>
      <c r="Q175">
        <v>1</v>
      </c>
      <c r="R175">
        <v>4</v>
      </c>
      <c r="S175">
        <v>46</v>
      </c>
      <c r="T175">
        <v>12</v>
      </c>
      <c r="U175">
        <v>15</v>
      </c>
      <c r="V175">
        <v>0</v>
      </c>
      <c r="W175">
        <v>40</v>
      </c>
      <c r="X175">
        <v>2</v>
      </c>
    </row>
    <row r="176" spans="1:24" x14ac:dyDescent="0.3">
      <c r="A176" t="s">
        <v>268</v>
      </c>
      <c r="B176" t="s">
        <v>307</v>
      </c>
      <c r="C176" t="s">
        <v>283</v>
      </c>
      <c r="D176">
        <v>300</v>
      </c>
      <c r="E176">
        <v>0</v>
      </c>
      <c r="F176">
        <v>0.5</v>
      </c>
      <c r="G176">
        <v>1</v>
      </c>
      <c r="H176">
        <v>0</v>
      </c>
      <c r="I176">
        <v>0</v>
      </c>
      <c r="J176">
        <v>0</v>
      </c>
      <c r="K176">
        <v>10</v>
      </c>
      <c r="L176">
        <v>3</v>
      </c>
      <c r="M176">
        <v>180</v>
      </c>
      <c r="N176">
        <v>8</v>
      </c>
      <c r="O176">
        <v>60</v>
      </c>
      <c r="P176">
        <v>20</v>
      </c>
      <c r="Q176">
        <v>1</v>
      </c>
      <c r="R176">
        <v>6</v>
      </c>
      <c r="S176">
        <v>56</v>
      </c>
      <c r="T176">
        <v>16</v>
      </c>
      <c r="U176">
        <v>15</v>
      </c>
      <c r="V176">
        <v>0</v>
      </c>
      <c r="W176">
        <v>50</v>
      </c>
      <c r="X176">
        <v>2</v>
      </c>
    </row>
    <row r="177" spans="1:24" x14ac:dyDescent="0.3">
      <c r="A177" t="s">
        <v>268</v>
      </c>
      <c r="B177" t="s">
        <v>308</v>
      </c>
      <c r="C177" t="s">
        <v>240</v>
      </c>
      <c r="D177">
        <v>140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5</v>
      </c>
      <c r="L177">
        <v>2</v>
      </c>
      <c r="M177">
        <v>150</v>
      </c>
      <c r="N177">
        <v>6</v>
      </c>
      <c r="O177">
        <v>24</v>
      </c>
      <c r="P177">
        <v>8</v>
      </c>
      <c r="Q177">
        <v>1</v>
      </c>
      <c r="R177">
        <v>4</v>
      </c>
      <c r="S177">
        <v>13</v>
      </c>
      <c r="T177">
        <v>10</v>
      </c>
      <c r="U177">
        <v>10</v>
      </c>
      <c r="V177">
        <v>0</v>
      </c>
      <c r="W177">
        <v>30</v>
      </c>
      <c r="X177">
        <v>0</v>
      </c>
    </row>
    <row r="178" spans="1:24" x14ac:dyDescent="0.3">
      <c r="A178" t="s">
        <v>268</v>
      </c>
      <c r="B178" t="s">
        <v>309</v>
      </c>
      <c r="C178" t="s">
        <v>234</v>
      </c>
      <c r="D178">
        <v>170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5</v>
      </c>
      <c r="L178">
        <v>2</v>
      </c>
      <c r="M178">
        <v>180</v>
      </c>
      <c r="N178">
        <v>8</v>
      </c>
      <c r="O178">
        <v>30</v>
      </c>
      <c r="P178">
        <v>10</v>
      </c>
      <c r="Q178">
        <v>1</v>
      </c>
      <c r="R178">
        <v>5</v>
      </c>
      <c r="S178">
        <v>16</v>
      </c>
      <c r="T178">
        <v>12</v>
      </c>
      <c r="U178">
        <v>15</v>
      </c>
      <c r="V178">
        <v>0</v>
      </c>
      <c r="W178">
        <v>40</v>
      </c>
      <c r="X178">
        <v>0</v>
      </c>
    </row>
    <row r="179" spans="1:24" x14ac:dyDescent="0.3">
      <c r="A179" t="s">
        <v>268</v>
      </c>
      <c r="B179" t="s">
        <v>310</v>
      </c>
      <c r="C179" t="s">
        <v>283</v>
      </c>
      <c r="D179">
        <v>220</v>
      </c>
      <c r="E179">
        <v>0</v>
      </c>
      <c r="F179">
        <v>0.5</v>
      </c>
      <c r="G179">
        <v>1</v>
      </c>
      <c r="H179">
        <v>0</v>
      </c>
      <c r="I179">
        <v>0</v>
      </c>
      <c r="J179">
        <v>0</v>
      </c>
      <c r="K179">
        <v>10</v>
      </c>
      <c r="L179">
        <v>3</v>
      </c>
      <c r="M179">
        <v>240</v>
      </c>
      <c r="N179">
        <v>10</v>
      </c>
      <c r="O179">
        <v>38</v>
      </c>
      <c r="P179">
        <v>13</v>
      </c>
      <c r="Q179">
        <v>2</v>
      </c>
      <c r="R179">
        <v>7</v>
      </c>
      <c r="S179">
        <v>21</v>
      </c>
      <c r="T179">
        <v>16</v>
      </c>
      <c r="U179">
        <v>15</v>
      </c>
      <c r="V179">
        <v>0</v>
      </c>
      <c r="W179">
        <v>50</v>
      </c>
      <c r="X179">
        <v>2</v>
      </c>
    </row>
    <row r="180" spans="1:24" x14ac:dyDescent="0.3">
      <c r="A180" t="s">
        <v>268</v>
      </c>
      <c r="B180" t="s">
        <v>311</v>
      </c>
      <c r="C180" t="s">
        <v>240</v>
      </c>
      <c r="D180">
        <v>340</v>
      </c>
      <c r="E180">
        <v>100</v>
      </c>
      <c r="F180">
        <v>11</v>
      </c>
      <c r="G180">
        <v>18</v>
      </c>
      <c r="H180">
        <v>7</v>
      </c>
      <c r="I180">
        <v>34</v>
      </c>
      <c r="J180">
        <v>0</v>
      </c>
      <c r="K180">
        <v>35</v>
      </c>
      <c r="L180">
        <v>12</v>
      </c>
      <c r="M180">
        <v>150</v>
      </c>
      <c r="N180">
        <v>6</v>
      </c>
      <c r="O180">
        <v>49</v>
      </c>
      <c r="P180">
        <v>16</v>
      </c>
      <c r="Q180">
        <v>2</v>
      </c>
      <c r="R180">
        <v>6</v>
      </c>
      <c r="S180">
        <v>42</v>
      </c>
      <c r="T180">
        <v>10</v>
      </c>
      <c r="U180">
        <v>10</v>
      </c>
      <c r="V180">
        <v>0</v>
      </c>
      <c r="W180">
        <v>30</v>
      </c>
      <c r="X180">
        <v>6</v>
      </c>
    </row>
    <row r="181" spans="1:24" x14ac:dyDescent="0.3">
      <c r="A181" t="s">
        <v>268</v>
      </c>
      <c r="B181" t="s">
        <v>312</v>
      </c>
      <c r="C181" t="s">
        <v>234</v>
      </c>
      <c r="D181">
        <v>410</v>
      </c>
      <c r="E181">
        <v>120</v>
      </c>
      <c r="F181">
        <v>14</v>
      </c>
      <c r="G181">
        <v>21</v>
      </c>
      <c r="H181">
        <v>8</v>
      </c>
      <c r="I181">
        <v>40</v>
      </c>
      <c r="J181">
        <v>0</v>
      </c>
      <c r="K181">
        <v>40</v>
      </c>
      <c r="L181">
        <v>14</v>
      </c>
      <c r="M181">
        <v>190</v>
      </c>
      <c r="N181">
        <v>8</v>
      </c>
      <c r="O181">
        <v>60</v>
      </c>
      <c r="P181">
        <v>20</v>
      </c>
      <c r="Q181">
        <v>2</v>
      </c>
      <c r="R181">
        <v>8</v>
      </c>
      <c r="S181">
        <v>53</v>
      </c>
      <c r="T181">
        <v>13</v>
      </c>
      <c r="U181">
        <v>10</v>
      </c>
      <c r="V181">
        <v>0</v>
      </c>
      <c r="W181">
        <v>40</v>
      </c>
      <c r="X181">
        <v>6</v>
      </c>
    </row>
    <row r="182" spans="1:24" x14ac:dyDescent="0.3">
      <c r="A182" t="s">
        <v>268</v>
      </c>
      <c r="B182" t="s">
        <v>313</v>
      </c>
      <c r="C182" t="s">
        <v>283</v>
      </c>
      <c r="D182">
        <v>500</v>
      </c>
      <c r="E182">
        <v>150</v>
      </c>
      <c r="F182">
        <v>17</v>
      </c>
      <c r="G182">
        <v>26</v>
      </c>
      <c r="H182">
        <v>10</v>
      </c>
      <c r="I182">
        <v>49</v>
      </c>
      <c r="J182">
        <v>0.5</v>
      </c>
      <c r="K182">
        <v>50</v>
      </c>
      <c r="L182">
        <v>17</v>
      </c>
      <c r="M182">
        <v>240</v>
      </c>
      <c r="N182">
        <v>10</v>
      </c>
      <c r="O182">
        <v>72</v>
      </c>
      <c r="P182">
        <v>24</v>
      </c>
      <c r="Q182">
        <v>2</v>
      </c>
      <c r="R182">
        <v>10</v>
      </c>
      <c r="S182">
        <v>63</v>
      </c>
      <c r="T182">
        <v>16</v>
      </c>
      <c r="U182">
        <v>15</v>
      </c>
      <c r="V182">
        <v>0</v>
      </c>
      <c r="W182">
        <v>50</v>
      </c>
      <c r="X182">
        <v>8</v>
      </c>
    </row>
    <row r="183" spans="1:24" x14ac:dyDescent="0.3">
      <c r="A183" t="s">
        <v>268</v>
      </c>
      <c r="B183" t="s">
        <v>314</v>
      </c>
      <c r="C183" t="s">
        <v>240</v>
      </c>
      <c r="D183">
        <v>270</v>
      </c>
      <c r="E183">
        <v>30</v>
      </c>
      <c r="F183">
        <v>3.5</v>
      </c>
      <c r="G183">
        <v>5</v>
      </c>
      <c r="H183">
        <v>2</v>
      </c>
      <c r="I183">
        <v>11</v>
      </c>
      <c r="J183">
        <v>0</v>
      </c>
      <c r="K183">
        <v>15</v>
      </c>
      <c r="L183">
        <v>5</v>
      </c>
      <c r="M183">
        <v>150</v>
      </c>
      <c r="N183">
        <v>6</v>
      </c>
      <c r="O183">
        <v>49</v>
      </c>
      <c r="P183">
        <v>16</v>
      </c>
      <c r="Q183">
        <v>2</v>
      </c>
      <c r="R183">
        <v>6</v>
      </c>
      <c r="S183">
        <v>43</v>
      </c>
      <c r="T183">
        <v>11</v>
      </c>
      <c r="U183">
        <v>10</v>
      </c>
      <c r="V183">
        <v>0</v>
      </c>
      <c r="W183">
        <v>35</v>
      </c>
      <c r="X183">
        <v>6</v>
      </c>
    </row>
    <row r="184" spans="1:24" x14ac:dyDescent="0.3">
      <c r="A184" t="s">
        <v>268</v>
      </c>
      <c r="B184" t="s">
        <v>315</v>
      </c>
      <c r="C184" t="s">
        <v>234</v>
      </c>
      <c r="D184">
        <v>330</v>
      </c>
      <c r="E184">
        <v>30</v>
      </c>
      <c r="F184">
        <v>3.5</v>
      </c>
      <c r="G184">
        <v>6</v>
      </c>
      <c r="H184">
        <v>2</v>
      </c>
      <c r="I184">
        <v>11</v>
      </c>
      <c r="J184">
        <v>0</v>
      </c>
      <c r="K184">
        <v>15</v>
      </c>
      <c r="L184">
        <v>5</v>
      </c>
      <c r="M184">
        <v>190</v>
      </c>
      <c r="N184">
        <v>8</v>
      </c>
      <c r="O184">
        <v>60</v>
      </c>
      <c r="P184">
        <v>20</v>
      </c>
      <c r="Q184">
        <v>2</v>
      </c>
      <c r="R184">
        <v>8</v>
      </c>
      <c r="S184">
        <v>53</v>
      </c>
      <c r="T184">
        <v>13</v>
      </c>
      <c r="U184">
        <v>15</v>
      </c>
      <c r="V184">
        <v>0</v>
      </c>
      <c r="W184">
        <v>40</v>
      </c>
      <c r="X184">
        <v>6</v>
      </c>
    </row>
    <row r="185" spans="1:24" x14ac:dyDescent="0.3">
      <c r="A185" t="s">
        <v>268</v>
      </c>
      <c r="B185" t="s">
        <v>316</v>
      </c>
      <c r="C185" t="s">
        <v>283</v>
      </c>
      <c r="D185">
        <v>390</v>
      </c>
      <c r="E185">
        <v>35</v>
      </c>
      <c r="F185">
        <v>4</v>
      </c>
      <c r="G185">
        <v>6</v>
      </c>
      <c r="H185">
        <v>2.5</v>
      </c>
      <c r="I185">
        <v>12</v>
      </c>
      <c r="J185">
        <v>0</v>
      </c>
      <c r="K185">
        <v>20</v>
      </c>
      <c r="L185">
        <v>6</v>
      </c>
      <c r="M185">
        <v>240</v>
      </c>
      <c r="N185">
        <v>10</v>
      </c>
      <c r="O185">
        <v>73</v>
      </c>
      <c r="P185">
        <v>24</v>
      </c>
      <c r="Q185">
        <v>2</v>
      </c>
      <c r="R185">
        <v>10</v>
      </c>
      <c r="S185">
        <v>64</v>
      </c>
      <c r="T185">
        <v>17</v>
      </c>
      <c r="U185">
        <v>20</v>
      </c>
      <c r="V185">
        <v>0</v>
      </c>
      <c r="W185">
        <v>50</v>
      </c>
      <c r="X185">
        <v>8</v>
      </c>
    </row>
    <row r="186" spans="1:24" x14ac:dyDescent="0.3">
      <c r="A186" t="s">
        <v>268</v>
      </c>
      <c r="B186" t="s">
        <v>317</v>
      </c>
      <c r="C186" t="s">
        <v>240</v>
      </c>
      <c r="D186">
        <v>320</v>
      </c>
      <c r="E186">
        <v>100</v>
      </c>
      <c r="F186">
        <v>11</v>
      </c>
      <c r="G186">
        <v>17</v>
      </c>
      <c r="H186">
        <v>7</v>
      </c>
      <c r="I186">
        <v>33</v>
      </c>
      <c r="J186">
        <v>0</v>
      </c>
      <c r="K186">
        <v>35</v>
      </c>
      <c r="L186">
        <v>12</v>
      </c>
      <c r="M186">
        <v>170</v>
      </c>
      <c r="N186">
        <v>7</v>
      </c>
      <c r="O186">
        <v>45</v>
      </c>
      <c r="P186">
        <v>15</v>
      </c>
      <c r="Q186">
        <v>1</v>
      </c>
      <c r="R186">
        <v>3</v>
      </c>
      <c r="S186">
        <v>40</v>
      </c>
      <c r="T186">
        <v>10</v>
      </c>
      <c r="U186">
        <v>10</v>
      </c>
      <c r="V186">
        <v>0</v>
      </c>
      <c r="W186">
        <v>30</v>
      </c>
      <c r="X186">
        <v>2</v>
      </c>
    </row>
    <row r="187" spans="1:24" x14ac:dyDescent="0.3">
      <c r="A187" t="s">
        <v>268</v>
      </c>
      <c r="B187" t="s">
        <v>318</v>
      </c>
      <c r="C187" t="s">
        <v>234</v>
      </c>
      <c r="D187">
        <v>390</v>
      </c>
      <c r="E187">
        <v>120</v>
      </c>
      <c r="F187">
        <v>14</v>
      </c>
      <c r="G187">
        <v>21</v>
      </c>
      <c r="H187">
        <v>8</v>
      </c>
      <c r="I187">
        <v>40</v>
      </c>
      <c r="J187">
        <v>0.5</v>
      </c>
      <c r="K187">
        <v>40</v>
      </c>
      <c r="L187">
        <v>14</v>
      </c>
      <c r="M187">
        <v>220</v>
      </c>
      <c r="N187">
        <v>9</v>
      </c>
      <c r="O187">
        <v>55</v>
      </c>
      <c r="P187">
        <v>18</v>
      </c>
      <c r="Q187">
        <v>1</v>
      </c>
      <c r="R187">
        <v>4</v>
      </c>
      <c r="S187">
        <v>50</v>
      </c>
      <c r="T187">
        <v>12</v>
      </c>
      <c r="U187">
        <v>15</v>
      </c>
      <c r="V187">
        <v>0</v>
      </c>
      <c r="W187">
        <v>40</v>
      </c>
      <c r="X187">
        <v>2</v>
      </c>
    </row>
    <row r="188" spans="1:24" x14ac:dyDescent="0.3">
      <c r="A188" t="s">
        <v>268</v>
      </c>
      <c r="B188" t="s">
        <v>319</v>
      </c>
      <c r="C188" t="s">
        <v>283</v>
      </c>
      <c r="D188">
        <v>480</v>
      </c>
      <c r="E188">
        <v>150</v>
      </c>
      <c r="F188">
        <v>17</v>
      </c>
      <c r="G188">
        <v>26</v>
      </c>
      <c r="H188">
        <v>10</v>
      </c>
      <c r="I188">
        <v>49</v>
      </c>
      <c r="J188">
        <v>0.5</v>
      </c>
      <c r="K188">
        <v>50</v>
      </c>
      <c r="L188">
        <v>17</v>
      </c>
      <c r="M188">
        <v>270</v>
      </c>
      <c r="N188">
        <v>11</v>
      </c>
      <c r="O188">
        <v>66</v>
      </c>
      <c r="P188">
        <v>22</v>
      </c>
      <c r="Q188">
        <v>1</v>
      </c>
      <c r="R188">
        <v>5</v>
      </c>
      <c r="S188">
        <v>60</v>
      </c>
      <c r="T188">
        <v>16</v>
      </c>
      <c r="U188">
        <v>15</v>
      </c>
      <c r="V188">
        <v>0</v>
      </c>
      <c r="W188">
        <v>50</v>
      </c>
      <c r="X188">
        <v>4</v>
      </c>
    </row>
    <row r="189" spans="1:24" x14ac:dyDescent="0.3">
      <c r="A189" t="s">
        <v>268</v>
      </c>
      <c r="B189" t="s">
        <v>320</v>
      </c>
      <c r="C189" t="s">
        <v>240</v>
      </c>
      <c r="D189">
        <v>250</v>
      </c>
      <c r="E189">
        <v>30</v>
      </c>
      <c r="F189">
        <v>3.5</v>
      </c>
      <c r="G189">
        <v>5</v>
      </c>
      <c r="H189">
        <v>2</v>
      </c>
      <c r="I189">
        <v>10</v>
      </c>
      <c r="J189">
        <v>0</v>
      </c>
      <c r="K189">
        <v>15</v>
      </c>
      <c r="L189">
        <v>5</v>
      </c>
      <c r="M189">
        <v>170</v>
      </c>
      <c r="N189">
        <v>7</v>
      </c>
      <c r="O189">
        <v>45</v>
      </c>
      <c r="P189">
        <v>15</v>
      </c>
      <c r="Q189">
        <v>1</v>
      </c>
      <c r="R189">
        <v>3</v>
      </c>
      <c r="S189">
        <v>41</v>
      </c>
      <c r="T189">
        <v>10</v>
      </c>
      <c r="U189">
        <v>10</v>
      </c>
      <c r="V189">
        <v>0</v>
      </c>
      <c r="W189">
        <v>35</v>
      </c>
      <c r="X189">
        <v>2</v>
      </c>
    </row>
    <row r="190" spans="1:24" x14ac:dyDescent="0.3">
      <c r="A190" t="s">
        <v>268</v>
      </c>
      <c r="B190" t="s">
        <v>321</v>
      </c>
      <c r="C190" t="s">
        <v>234</v>
      </c>
      <c r="D190">
        <v>310</v>
      </c>
      <c r="E190">
        <v>30</v>
      </c>
      <c r="F190">
        <v>3.5</v>
      </c>
      <c r="G190">
        <v>5</v>
      </c>
      <c r="H190">
        <v>2</v>
      </c>
      <c r="I190">
        <v>11</v>
      </c>
      <c r="J190">
        <v>0</v>
      </c>
      <c r="K190">
        <v>15</v>
      </c>
      <c r="L190">
        <v>5</v>
      </c>
      <c r="M190">
        <v>210</v>
      </c>
      <c r="N190">
        <v>9</v>
      </c>
      <c r="O190">
        <v>56</v>
      </c>
      <c r="P190">
        <v>19</v>
      </c>
      <c r="Q190">
        <v>1</v>
      </c>
      <c r="R190">
        <v>4</v>
      </c>
      <c r="S190">
        <v>51</v>
      </c>
      <c r="T190">
        <v>13</v>
      </c>
      <c r="U190">
        <v>15</v>
      </c>
      <c r="V190">
        <v>0</v>
      </c>
      <c r="W190">
        <v>40</v>
      </c>
      <c r="X190">
        <v>2</v>
      </c>
    </row>
    <row r="191" spans="1:24" x14ac:dyDescent="0.3">
      <c r="A191" t="s">
        <v>268</v>
      </c>
      <c r="B191" t="s">
        <v>322</v>
      </c>
      <c r="C191" t="s">
        <v>283</v>
      </c>
      <c r="D191">
        <v>370</v>
      </c>
      <c r="E191">
        <v>35</v>
      </c>
      <c r="F191">
        <v>3.5</v>
      </c>
      <c r="G191">
        <v>6</v>
      </c>
      <c r="H191">
        <v>2.5</v>
      </c>
      <c r="I191">
        <v>11</v>
      </c>
      <c r="J191">
        <v>0</v>
      </c>
      <c r="K191">
        <v>20</v>
      </c>
      <c r="L191">
        <v>6</v>
      </c>
      <c r="M191">
        <v>270</v>
      </c>
      <c r="N191">
        <v>11</v>
      </c>
      <c r="O191">
        <v>67</v>
      </c>
      <c r="P191">
        <v>22</v>
      </c>
      <c r="Q191">
        <v>1</v>
      </c>
      <c r="R191">
        <v>5</v>
      </c>
      <c r="S191">
        <v>61</v>
      </c>
      <c r="T191">
        <v>17</v>
      </c>
      <c r="U191">
        <v>20</v>
      </c>
      <c r="V191">
        <v>0</v>
      </c>
      <c r="W191">
        <v>50</v>
      </c>
      <c r="X191">
        <v>4</v>
      </c>
    </row>
    <row r="192" spans="1:24" x14ac:dyDescent="0.3">
      <c r="A192" t="s">
        <v>268</v>
      </c>
      <c r="B192" t="s">
        <v>323</v>
      </c>
      <c r="C192" t="s">
        <v>240</v>
      </c>
      <c r="D192">
        <v>360</v>
      </c>
      <c r="E192">
        <v>120</v>
      </c>
      <c r="F192">
        <v>13</v>
      </c>
      <c r="G192">
        <v>21</v>
      </c>
      <c r="H192">
        <v>8</v>
      </c>
      <c r="I192">
        <v>39</v>
      </c>
      <c r="J192">
        <v>0</v>
      </c>
      <c r="K192">
        <v>40</v>
      </c>
      <c r="L192">
        <v>14</v>
      </c>
      <c r="M192">
        <v>180</v>
      </c>
      <c r="N192">
        <v>8</v>
      </c>
      <c r="O192">
        <v>50</v>
      </c>
      <c r="P192">
        <v>17</v>
      </c>
      <c r="Q192">
        <v>1</v>
      </c>
      <c r="R192">
        <v>3</v>
      </c>
      <c r="S192">
        <v>45</v>
      </c>
      <c r="T192">
        <v>11</v>
      </c>
      <c r="U192">
        <v>10</v>
      </c>
      <c r="V192">
        <v>0</v>
      </c>
      <c r="W192">
        <v>40</v>
      </c>
      <c r="X192">
        <v>6</v>
      </c>
    </row>
    <row r="193" spans="1:24" x14ac:dyDescent="0.3">
      <c r="A193" t="s">
        <v>268</v>
      </c>
      <c r="B193" t="s">
        <v>324</v>
      </c>
      <c r="C193" t="s">
        <v>234</v>
      </c>
      <c r="D193">
        <v>440</v>
      </c>
      <c r="E193">
        <v>140</v>
      </c>
      <c r="F193">
        <v>16</v>
      </c>
      <c r="G193">
        <v>25</v>
      </c>
      <c r="H193">
        <v>9</v>
      </c>
      <c r="I193">
        <v>47</v>
      </c>
      <c r="J193">
        <v>0.5</v>
      </c>
      <c r="K193">
        <v>50</v>
      </c>
      <c r="L193">
        <v>16</v>
      </c>
      <c r="M193">
        <v>220</v>
      </c>
      <c r="N193">
        <v>9</v>
      </c>
      <c r="O193">
        <v>61</v>
      </c>
      <c r="P193">
        <v>20</v>
      </c>
      <c r="Q193">
        <v>1</v>
      </c>
      <c r="R193">
        <v>4</v>
      </c>
      <c r="S193">
        <v>56</v>
      </c>
      <c r="T193">
        <v>14</v>
      </c>
      <c r="U193">
        <v>15</v>
      </c>
      <c r="V193">
        <v>0</v>
      </c>
      <c r="W193">
        <v>45</v>
      </c>
      <c r="X193">
        <v>6</v>
      </c>
    </row>
    <row r="194" spans="1:24" x14ac:dyDescent="0.3">
      <c r="A194" t="s">
        <v>268</v>
      </c>
      <c r="B194" t="s">
        <v>325</v>
      </c>
      <c r="C194" t="s">
        <v>283</v>
      </c>
      <c r="D194">
        <v>540</v>
      </c>
      <c r="E194">
        <v>180</v>
      </c>
      <c r="F194">
        <v>20</v>
      </c>
      <c r="G194">
        <v>31</v>
      </c>
      <c r="H194">
        <v>12</v>
      </c>
      <c r="I194">
        <v>58</v>
      </c>
      <c r="J194">
        <v>0.5</v>
      </c>
      <c r="K194">
        <v>60</v>
      </c>
      <c r="L194">
        <v>20</v>
      </c>
      <c r="M194">
        <v>280</v>
      </c>
      <c r="N194">
        <v>12</v>
      </c>
      <c r="O194">
        <v>73</v>
      </c>
      <c r="P194">
        <v>24</v>
      </c>
      <c r="Q194">
        <v>1</v>
      </c>
      <c r="R194">
        <v>5</v>
      </c>
      <c r="S194">
        <v>68</v>
      </c>
      <c r="T194">
        <v>17</v>
      </c>
      <c r="U194">
        <v>20</v>
      </c>
      <c r="V194">
        <v>0</v>
      </c>
      <c r="W194">
        <v>60</v>
      </c>
      <c r="X194">
        <v>8</v>
      </c>
    </row>
    <row r="195" spans="1:24" x14ac:dyDescent="0.3">
      <c r="A195" t="s">
        <v>268</v>
      </c>
      <c r="B195" t="s">
        <v>326</v>
      </c>
      <c r="C195" t="s">
        <v>240</v>
      </c>
      <c r="D195">
        <v>280</v>
      </c>
      <c r="E195">
        <v>30</v>
      </c>
      <c r="F195">
        <v>3.5</v>
      </c>
      <c r="G195">
        <v>5</v>
      </c>
      <c r="H195">
        <v>2</v>
      </c>
      <c r="I195">
        <v>11</v>
      </c>
      <c r="J195">
        <v>0</v>
      </c>
      <c r="K195">
        <v>15</v>
      </c>
      <c r="L195">
        <v>5</v>
      </c>
      <c r="M195">
        <v>180</v>
      </c>
      <c r="N195">
        <v>7</v>
      </c>
      <c r="O195">
        <v>50</v>
      </c>
      <c r="P195">
        <v>17</v>
      </c>
      <c r="Q195">
        <v>1</v>
      </c>
      <c r="R195">
        <v>3</v>
      </c>
      <c r="S195">
        <v>46</v>
      </c>
      <c r="T195">
        <v>12</v>
      </c>
      <c r="U195">
        <v>15</v>
      </c>
      <c r="V195">
        <v>0</v>
      </c>
      <c r="W195">
        <v>40</v>
      </c>
      <c r="X195">
        <v>6</v>
      </c>
    </row>
    <row r="196" spans="1:24" x14ac:dyDescent="0.3">
      <c r="A196" t="s">
        <v>268</v>
      </c>
      <c r="B196" t="s">
        <v>327</v>
      </c>
      <c r="C196" t="s">
        <v>234</v>
      </c>
      <c r="D196">
        <v>340</v>
      </c>
      <c r="E196">
        <v>30</v>
      </c>
      <c r="F196">
        <v>3.5</v>
      </c>
      <c r="G196">
        <v>5</v>
      </c>
      <c r="H196">
        <v>2</v>
      </c>
      <c r="I196">
        <v>11</v>
      </c>
      <c r="J196">
        <v>0</v>
      </c>
      <c r="K196">
        <v>15</v>
      </c>
      <c r="L196">
        <v>6</v>
      </c>
      <c r="M196">
        <v>220</v>
      </c>
      <c r="N196">
        <v>9</v>
      </c>
      <c r="O196">
        <v>61</v>
      </c>
      <c r="P196">
        <v>20</v>
      </c>
      <c r="Q196">
        <v>1</v>
      </c>
      <c r="R196">
        <v>4</v>
      </c>
      <c r="S196">
        <v>57</v>
      </c>
      <c r="T196">
        <v>14</v>
      </c>
      <c r="U196">
        <v>20</v>
      </c>
      <c r="V196">
        <v>0</v>
      </c>
      <c r="W196">
        <v>50</v>
      </c>
      <c r="X196">
        <v>6</v>
      </c>
    </row>
    <row r="197" spans="1:24" x14ac:dyDescent="0.3">
      <c r="A197" t="s">
        <v>268</v>
      </c>
      <c r="B197" t="s">
        <v>328</v>
      </c>
      <c r="C197" t="s">
        <v>283</v>
      </c>
      <c r="D197">
        <v>400</v>
      </c>
      <c r="E197">
        <v>35</v>
      </c>
      <c r="F197">
        <v>3.5</v>
      </c>
      <c r="G197">
        <v>6</v>
      </c>
      <c r="H197">
        <v>2.5</v>
      </c>
      <c r="I197">
        <v>12</v>
      </c>
      <c r="J197">
        <v>0</v>
      </c>
      <c r="K197">
        <v>20</v>
      </c>
      <c r="L197">
        <v>7</v>
      </c>
      <c r="M197">
        <v>280</v>
      </c>
      <c r="N197">
        <v>12</v>
      </c>
      <c r="O197">
        <v>74</v>
      </c>
      <c r="P197">
        <v>25</v>
      </c>
      <c r="Q197">
        <v>1</v>
      </c>
      <c r="R197">
        <v>5</v>
      </c>
      <c r="S197">
        <v>69</v>
      </c>
      <c r="T197">
        <v>19</v>
      </c>
      <c r="U197">
        <v>25</v>
      </c>
      <c r="V197">
        <v>0</v>
      </c>
      <c r="W197">
        <v>60</v>
      </c>
      <c r="X197">
        <v>8</v>
      </c>
    </row>
    <row r="198" spans="1:24" x14ac:dyDescent="0.3">
      <c r="A198" t="s">
        <v>268</v>
      </c>
      <c r="B198" t="s">
        <v>329</v>
      </c>
      <c r="C198" t="s">
        <v>234</v>
      </c>
      <c r="D198">
        <v>140</v>
      </c>
      <c r="E198">
        <v>40</v>
      </c>
      <c r="F198">
        <v>4.5</v>
      </c>
      <c r="G198">
        <v>7</v>
      </c>
      <c r="H198">
        <v>3</v>
      </c>
      <c r="I198">
        <v>15</v>
      </c>
      <c r="J198">
        <v>0</v>
      </c>
      <c r="K198">
        <v>15</v>
      </c>
      <c r="L198">
        <v>6</v>
      </c>
      <c r="M198">
        <v>35</v>
      </c>
      <c r="N198">
        <v>1</v>
      </c>
      <c r="O198">
        <v>23</v>
      </c>
      <c r="P198">
        <v>8</v>
      </c>
      <c r="Q198">
        <v>0</v>
      </c>
      <c r="R198">
        <v>0</v>
      </c>
      <c r="S198">
        <v>22</v>
      </c>
      <c r="T198">
        <v>1</v>
      </c>
      <c r="U198">
        <v>4</v>
      </c>
      <c r="V198">
        <v>0</v>
      </c>
      <c r="W198">
        <v>4</v>
      </c>
      <c r="X198">
        <v>0</v>
      </c>
    </row>
    <row r="199" spans="1:24" x14ac:dyDescent="0.3">
      <c r="A199" t="s">
        <v>268</v>
      </c>
      <c r="B199" t="s">
        <v>330</v>
      </c>
      <c r="C199" t="s">
        <v>265</v>
      </c>
      <c r="D199">
        <v>190</v>
      </c>
      <c r="E199">
        <v>60</v>
      </c>
      <c r="F199">
        <v>7</v>
      </c>
      <c r="G199">
        <v>11</v>
      </c>
      <c r="H199">
        <v>4.5</v>
      </c>
      <c r="I199">
        <v>22</v>
      </c>
      <c r="J199">
        <v>0</v>
      </c>
      <c r="K199">
        <v>25</v>
      </c>
      <c r="L199">
        <v>9</v>
      </c>
      <c r="M199">
        <v>50</v>
      </c>
      <c r="N199">
        <v>2</v>
      </c>
      <c r="O199">
        <v>31</v>
      </c>
      <c r="P199">
        <v>10</v>
      </c>
      <c r="Q199">
        <v>0</v>
      </c>
      <c r="R199">
        <v>0</v>
      </c>
      <c r="S199">
        <v>30</v>
      </c>
      <c r="T199">
        <v>1</v>
      </c>
      <c r="U199">
        <v>4</v>
      </c>
      <c r="V199">
        <v>0</v>
      </c>
      <c r="W199">
        <v>4</v>
      </c>
      <c r="X199">
        <v>0</v>
      </c>
    </row>
    <row r="200" spans="1:24" x14ac:dyDescent="0.3">
      <c r="A200" t="s">
        <v>268</v>
      </c>
      <c r="B200" t="s">
        <v>331</v>
      </c>
      <c r="C200" t="s">
        <v>332</v>
      </c>
      <c r="D200">
        <v>270</v>
      </c>
      <c r="E200">
        <v>80</v>
      </c>
      <c r="F200">
        <v>9</v>
      </c>
      <c r="G200">
        <v>14</v>
      </c>
      <c r="H200">
        <v>6</v>
      </c>
      <c r="I200">
        <v>29</v>
      </c>
      <c r="J200">
        <v>0</v>
      </c>
      <c r="K200">
        <v>35</v>
      </c>
      <c r="L200">
        <v>12</v>
      </c>
      <c r="M200">
        <v>75</v>
      </c>
      <c r="N200">
        <v>3</v>
      </c>
      <c r="O200">
        <v>47</v>
      </c>
      <c r="P200">
        <v>16</v>
      </c>
      <c r="Q200">
        <v>0</v>
      </c>
      <c r="R200">
        <v>0</v>
      </c>
      <c r="S200">
        <v>45</v>
      </c>
      <c r="T200">
        <v>2</v>
      </c>
      <c r="U200">
        <v>6</v>
      </c>
      <c r="V200">
        <v>0</v>
      </c>
      <c r="W200">
        <v>8</v>
      </c>
      <c r="X200">
        <v>0</v>
      </c>
    </row>
    <row r="201" spans="1:24" x14ac:dyDescent="0.3">
      <c r="A201" t="s">
        <v>268</v>
      </c>
      <c r="B201" t="s">
        <v>333</v>
      </c>
      <c r="C201" t="s">
        <v>234</v>
      </c>
      <c r="D201">
        <v>130</v>
      </c>
      <c r="E201">
        <v>40</v>
      </c>
      <c r="F201">
        <v>4.5</v>
      </c>
      <c r="G201">
        <v>7</v>
      </c>
      <c r="H201">
        <v>3</v>
      </c>
      <c r="I201">
        <v>15</v>
      </c>
      <c r="J201">
        <v>0</v>
      </c>
      <c r="K201">
        <v>15</v>
      </c>
      <c r="L201">
        <v>6</v>
      </c>
      <c r="M201">
        <v>35</v>
      </c>
      <c r="N201">
        <v>2</v>
      </c>
      <c r="O201">
        <v>22</v>
      </c>
      <c r="P201">
        <v>7</v>
      </c>
      <c r="Q201">
        <v>0</v>
      </c>
      <c r="R201">
        <v>0</v>
      </c>
      <c r="S201">
        <v>21</v>
      </c>
      <c r="T201">
        <v>1</v>
      </c>
      <c r="U201">
        <v>4</v>
      </c>
      <c r="V201">
        <v>0</v>
      </c>
      <c r="W201">
        <v>4</v>
      </c>
      <c r="X201">
        <v>0</v>
      </c>
    </row>
    <row r="202" spans="1:24" x14ac:dyDescent="0.3">
      <c r="A202" t="s">
        <v>268</v>
      </c>
      <c r="B202" t="s">
        <v>334</v>
      </c>
      <c r="C202" t="s">
        <v>265</v>
      </c>
      <c r="D202">
        <v>180</v>
      </c>
      <c r="E202">
        <v>60</v>
      </c>
      <c r="F202">
        <v>7</v>
      </c>
      <c r="G202">
        <v>11</v>
      </c>
      <c r="H202">
        <v>4.5</v>
      </c>
      <c r="I202">
        <v>22</v>
      </c>
      <c r="J202">
        <v>0</v>
      </c>
      <c r="K202">
        <v>25</v>
      </c>
      <c r="L202">
        <v>9</v>
      </c>
      <c r="M202">
        <v>50</v>
      </c>
      <c r="N202">
        <v>2</v>
      </c>
      <c r="O202">
        <v>29</v>
      </c>
      <c r="P202">
        <v>10</v>
      </c>
      <c r="Q202">
        <v>0</v>
      </c>
      <c r="R202">
        <v>0</v>
      </c>
      <c r="S202">
        <v>28</v>
      </c>
      <c r="T202">
        <v>1</v>
      </c>
      <c r="U202">
        <v>4</v>
      </c>
      <c r="V202">
        <v>0</v>
      </c>
      <c r="W202">
        <v>4</v>
      </c>
      <c r="X202">
        <v>0</v>
      </c>
    </row>
    <row r="203" spans="1:24" x14ac:dyDescent="0.3">
      <c r="A203" t="s">
        <v>268</v>
      </c>
      <c r="B203" t="s">
        <v>335</v>
      </c>
      <c r="C203" t="s">
        <v>332</v>
      </c>
      <c r="D203">
        <v>260</v>
      </c>
      <c r="E203">
        <v>80</v>
      </c>
      <c r="F203">
        <v>9</v>
      </c>
      <c r="G203">
        <v>14</v>
      </c>
      <c r="H203">
        <v>6</v>
      </c>
      <c r="I203">
        <v>29</v>
      </c>
      <c r="J203">
        <v>0</v>
      </c>
      <c r="K203">
        <v>35</v>
      </c>
      <c r="L203">
        <v>12</v>
      </c>
      <c r="M203">
        <v>65</v>
      </c>
      <c r="N203">
        <v>3</v>
      </c>
      <c r="O203">
        <v>43</v>
      </c>
      <c r="P203">
        <v>14</v>
      </c>
      <c r="Q203">
        <v>0</v>
      </c>
      <c r="R203">
        <v>0</v>
      </c>
      <c r="S203">
        <v>42</v>
      </c>
      <c r="T203">
        <v>2</v>
      </c>
      <c r="U203">
        <v>6</v>
      </c>
      <c r="V203">
        <v>0</v>
      </c>
      <c r="W203">
        <v>6</v>
      </c>
      <c r="X203">
        <v>0</v>
      </c>
    </row>
    <row r="204" spans="1:24" x14ac:dyDescent="0.3">
      <c r="A204" t="s">
        <v>268</v>
      </c>
      <c r="B204" t="s">
        <v>336</v>
      </c>
      <c r="C204" t="s">
        <v>234</v>
      </c>
      <c r="D204">
        <v>130</v>
      </c>
      <c r="E204">
        <v>40</v>
      </c>
      <c r="F204">
        <v>4.5</v>
      </c>
      <c r="G204">
        <v>7</v>
      </c>
      <c r="H204">
        <v>3</v>
      </c>
      <c r="I204">
        <v>15</v>
      </c>
      <c r="J204">
        <v>0</v>
      </c>
      <c r="K204">
        <v>15</v>
      </c>
      <c r="L204">
        <v>6</v>
      </c>
      <c r="M204">
        <v>35</v>
      </c>
      <c r="N204">
        <v>1</v>
      </c>
      <c r="O204">
        <v>21</v>
      </c>
      <c r="P204">
        <v>7</v>
      </c>
      <c r="Q204">
        <v>0</v>
      </c>
      <c r="R204">
        <v>0</v>
      </c>
      <c r="S204">
        <v>20</v>
      </c>
      <c r="T204">
        <v>1</v>
      </c>
      <c r="U204">
        <v>4</v>
      </c>
      <c r="V204">
        <v>0</v>
      </c>
      <c r="W204">
        <v>4</v>
      </c>
      <c r="X204">
        <v>0</v>
      </c>
    </row>
    <row r="205" spans="1:24" x14ac:dyDescent="0.3">
      <c r="A205" t="s">
        <v>268</v>
      </c>
      <c r="B205" t="s">
        <v>337</v>
      </c>
      <c r="C205" t="s">
        <v>265</v>
      </c>
      <c r="D205">
        <v>180</v>
      </c>
      <c r="E205">
        <v>60</v>
      </c>
      <c r="F205">
        <v>7</v>
      </c>
      <c r="G205">
        <v>11</v>
      </c>
      <c r="H205">
        <v>4.5</v>
      </c>
      <c r="I205">
        <v>22</v>
      </c>
      <c r="J205">
        <v>0</v>
      </c>
      <c r="K205">
        <v>25</v>
      </c>
      <c r="L205">
        <v>9</v>
      </c>
      <c r="M205">
        <v>50</v>
      </c>
      <c r="N205">
        <v>2</v>
      </c>
      <c r="O205">
        <v>29</v>
      </c>
      <c r="P205">
        <v>10</v>
      </c>
      <c r="Q205">
        <v>0</v>
      </c>
      <c r="R205">
        <v>0</v>
      </c>
      <c r="S205">
        <v>28</v>
      </c>
      <c r="T205">
        <v>1</v>
      </c>
      <c r="U205">
        <v>4</v>
      </c>
      <c r="V205">
        <v>0</v>
      </c>
      <c r="W205">
        <v>4</v>
      </c>
      <c r="X205">
        <v>0</v>
      </c>
    </row>
    <row r="206" spans="1:24" x14ac:dyDescent="0.3">
      <c r="A206" t="s">
        <v>268</v>
      </c>
      <c r="B206" t="s">
        <v>338</v>
      </c>
      <c r="C206" t="s">
        <v>332</v>
      </c>
      <c r="D206">
        <v>250</v>
      </c>
      <c r="E206">
        <v>80</v>
      </c>
      <c r="F206">
        <v>9</v>
      </c>
      <c r="G206">
        <v>14</v>
      </c>
      <c r="H206">
        <v>6</v>
      </c>
      <c r="I206">
        <v>29</v>
      </c>
      <c r="J206">
        <v>0</v>
      </c>
      <c r="K206">
        <v>35</v>
      </c>
      <c r="L206">
        <v>12</v>
      </c>
      <c r="M206">
        <v>75</v>
      </c>
      <c r="N206">
        <v>3</v>
      </c>
      <c r="O206">
        <v>43</v>
      </c>
      <c r="P206">
        <v>14</v>
      </c>
      <c r="Q206">
        <v>0</v>
      </c>
      <c r="R206">
        <v>0</v>
      </c>
      <c r="S206">
        <v>41</v>
      </c>
      <c r="T206">
        <v>2</v>
      </c>
      <c r="U206">
        <v>6</v>
      </c>
      <c r="V206">
        <v>0</v>
      </c>
      <c r="W206">
        <v>8</v>
      </c>
      <c r="X206">
        <v>0</v>
      </c>
    </row>
    <row r="207" spans="1:24" x14ac:dyDescent="0.3">
      <c r="A207" t="s">
        <v>268</v>
      </c>
      <c r="B207" t="s">
        <v>339</v>
      </c>
      <c r="C207" t="s">
        <v>234</v>
      </c>
      <c r="D207">
        <v>120</v>
      </c>
      <c r="E207">
        <v>40</v>
      </c>
      <c r="F207">
        <v>4.5</v>
      </c>
      <c r="G207">
        <v>7</v>
      </c>
      <c r="H207">
        <v>3</v>
      </c>
      <c r="I207">
        <v>15</v>
      </c>
      <c r="J207">
        <v>0</v>
      </c>
      <c r="K207">
        <v>15</v>
      </c>
      <c r="L207">
        <v>6</v>
      </c>
      <c r="M207">
        <v>40</v>
      </c>
      <c r="N207">
        <v>2</v>
      </c>
      <c r="O207">
        <v>20</v>
      </c>
      <c r="P207">
        <v>7</v>
      </c>
      <c r="Q207">
        <v>0</v>
      </c>
      <c r="R207">
        <v>0</v>
      </c>
      <c r="S207">
        <v>19</v>
      </c>
      <c r="T207">
        <v>1</v>
      </c>
      <c r="U207">
        <v>4</v>
      </c>
      <c r="V207">
        <v>0</v>
      </c>
      <c r="W207">
        <v>4</v>
      </c>
      <c r="X207">
        <v>0</v>
      </c>
    </row>
    <row r="208" spans="1:24" x14ac:dyDescent="0.3">
      <c r="A208" t="s">
        <v>268</v>
      </c>
      <c r="B208" t="s">
        <v>340</v>
      </c>
      <c r="C208" t="s">
        <v>265</v>
      </c>
      <c r="D208">
        <v>170</v>
      </c>
      <c r="E208">
        <v>60</v>
      </c>
      <c r="F208">
        <v>7</v>
      </c>
      <c r="G208">
        <v>11</v>
      </c>
      <c r="H208">
        <v>4.5</v>
      </c>
      <c r="I208">
        <v>22</v>
      </c>
      <c r="J208">
        <v>0</v>
      </c>
      <c r="K208">
        <v>25</v>
      </c>
      <c r="L208">
        <v>9</v>
      </c>
      <c r="M208">
        <v>55</v>
      </c>
      <c r="N208">
        <v>2</v>
      </c>
      <c r="O208">
        <v>27</v>
      </c>
      <c r="P208">
        <v>9</v>
      </c>
      <c r="Q208">
        <v>0</v>
      </c>
      <c r="R208">
        <v>0</v>
      </c>
      <c r="S208">
        <v>26</v>
      </c>
      <c r="T208">
        <v>1</v>
      </c>
      <c r="U208">
        <v>4</v>
      </c>
      <c r="V208">
        <v>0</v>
      </c>
      <c r="W208">
        <v>4</v>
      </c>
      <c r="X208">
        <v>0</v>
      </c>
    </row>
    <row r="209" spans="1:24" x14ac:dyDescent="0.3">
      <c r="A209" t="s">
        <v>268</v>
      </c>
      <c r="B209" t="s">
        <v>341</v>
      </c>
      <c r="C209" t="s">
        <v>332</v>
      </c>
      <c r="D209">
        <v>240</v>
      </c>
      <c r="E209">
        <v>80</v>
      </c>
      <c r="F209">
        <v>9</v>
      </c>
      <c r="G209">
        <v>14</v>
      </c>
      <c r="H209">
        <v>6</v>
      </c>
      <c r="I209">
        <v>29</v>
      </c>
      <c r="J209">
        <v>0</v>
      </c>
      <c r="K209">
        <v>35</v>
      </c>
      <c r="L209">
        <v>12</v>
      </c>
      <c r="M209">
        <v>80</v>
      </c>
      <c r="N209">
        <v>3</v>
      </c>
      <c r="O209">
        <v>41</v>
      </c>
      <c r="P209">
        <v>14</v>
      </c>
      <c r="Q209">
        <v>0</v>
      </c>
      <c r="R209">
        <v>0</v>
      </c>
      <c r="S209">
        <v>39</v>
      </c>
      <c r="T209">
        <v>2</v>
      </c>
      <c r="U209">
        <v>6</v>
      </c>
      <c r="V209">
        <v>0</v>
      </c>
      <c r="W209">
        <v>8</v>
      </c>
      <c r="X209">
        <v>0</v>
      </c>
    </row>
    <row r="210" spans="1:24" x14ac:dyDescent="0.3">
      <c r="A210" t="s">
        <v>268</v>
      </c>
      <c r="B210" t="s">
        <v>342</v>
      </c>
      <c r="C210" t="s">
        <v>234</v>
      </c>
      <c r="D210">
        <v>80</v>
      </c>
      <c r="E210">
        <v>40</v>
      </c>
      <c r="F210">
        <v>4.5</v>
      </c>
      <c r="G210">
        <v>7</v>
      </c>
      <c r="H210">
        <v>3</v>
      </c>
      <c r="I210">
        <v>15</v>
      </c>
      <c r="J210">
        <v>0</v>
      </c>
      <c r="K210">
        <v>15</v>
      </c>
      <c r="L210">
        <v>6</v>
      </c>
      <c r="M210">
        <v>65</v>
      </c>
      <c r="N210">
        <v>3</v>
      </c>
      <c r="O210">
        <v>9</v>
      </c>
      <c r="P210">
        <v>3</v>
      </c>
      <c r="Q210">
        <v>0</v>
      </c>
      <c r="R210">
        <v>0</v>
      </c>
      <c r="S210">
        <v>1</v>
      </c>
      <c r="T210">
        <v>1</v>
      </c>
      <c r="U210">
        <v>4</v>
      </c>
      <c r="V210">
        <v>0</v>
      </c>
      <c r="W210">
        <v>4</v>
      </c>
      <c r="X210">
        <v>0</v>
      </c>
    </row>
    <row r="211" spans="1:24" x14ac:dyDescent="0.3">
      <c r="A211" t="s">
        <v>268</v>
      </c>
      <c r="B211" t="s">
        <v>343</v>
      </c>
      <c r="C211" t="s">
        <v>265</v>
      </c>
      <c r="D211">
        <v>120</v>
      </c>
      <c r="E211">
        <v>60</v>
      </c>
      <c r="F211">
        <v>7</v>
      </c>
      <c r="G211">
        <v>11</v>
      </c>
      <c r="H211">
        <v>4.5</v>
      </c>
      <c r="I211">
        <v>22</v>
      </c>
      <c r="J211">
        <v>0</v>
      </c>
      <c r="K211">
        <v>25</v>
      </c>
      <c r="L211">
        <v>9</v>
      </c>
      <c r="M211">
        <v>90</v>
      </c>
      <c r="N211">
        <v>4</v>
      </c>
      <c r="O211">
        <v>12</v>
      </c>
      <c r="P211">
        <v>4</v>
      </c>
      <c r="Q211">
        <v>0</v>
      </c>
      <c r="R211">
        <v>0</v>
      </c>
      <c r="S211">
        <v>2</v>
      </c>
      <c r="T211">
        <v>1</v>
      </c>
      <c r="U211">
        <v>4</v>
      </c>
      <c r="V211">
        <v>0</v>
      </c>
      <c r="W211">
        <v>4</v>
      </c>
      <c r="X211">
        <v>0</v>
      </c>
    </row>
    <row r="212" spans="1:24" x14ac:dyDescent="0.3">
      <c r="A212" t="s">
        <v>268</v>
      </c>
      <c r="B212" t="s">
        <v>344</v>
      </c>
      <c r="C212" t="s">
        <v>332</v>
      </c>
      <c r="D212">
        <v>160</v>
      </c>
      <c r="E212">
        <v>80</v>
      </c>
      <c r="F212">
        <v>9</v>
      </c>
      <c r="G212">
        <v>14</v>
      </c>
      <c r="H212">
        <v>6</v>
      </c>
      <c r="I212">
        <v>29</v>
      </c>
      <c r="J212">
        <v>0</v>
      </c>
      <c r="K212">
        <v>35</v>
      </c>
      <c r="L212">
        <v>12</v>
      </c>
      <c r="M212">
        <v>135</v>
      </c>
      <c r="N212">
        <v>6</v>
      </c>
      <c r="O212">
        <v>18</v>
      </c>
      <c r="P212">
        <v>6</v>
      </c>
      <c r="Q212">
        <v>0</v>
      </c>
      <c r="R212">
        <v>0</v>
      </c>
      <c r="S212">
        <v>2</v>
      </c>
      <c r="T212">
        <v>2</v>
      </c>
      <c r="U212">
        <v>6</v>
      </c>
      <c r="V212">
        <v>0</v>
      </c>
      <c r="W212">
        <v>8</v>
      </c>
      <c r="X212">
        <v>0</v>
      </c>
    </row>
    <row r="213" spans="1:24" x14ac:dyDescent="0.3">
      <c r="A213" t="s">
        <v>268</v>
      </c>
      <c r="B213" t="s">
        <v>345</v>
      </c>
      <c r="C213" t="s">
        <v>240</v>
      </c>
      <c r="D213">
        <v>290</v>
      </c>
      <c r="E213">
        <v>100</v>
      </c>
      <c r="F213">
        <v>11</v>
      </c>
      <c r="G213">
        <v>17</v>
      </c>
      <c r="H213">
        <v>7</v>
      </c>
      <c r="I213">
        <v>33</v>
      </c>
      <c r="J213">
        <v>0</v>
      </c>
      <c r="K213">
        <v>35</v>
      </c>
      <c r="L213">
        <v>12</v>
      </c>
      <c r="M213">
        <v>125</v>
      </c>
      <c r="N213">
        <v>5</v>
      </c>
      <c r="O213">
        <v>41</v>
      </c>
      <c r="P213">
        <v>14</v>
      </c>
      <c r="Q213">
        <v>1</v>
      </c>
      <c r="R213">
        <v>4</v>
      </c>
      <c r="S213">
        <v>34</v>
      </c>
      <c r="T213">
        <v>8</v>
      </c>
      <c r="U213">
        <v>10</v>
      </c>
      <c r="V213">
        <v>0</v>
      </c>
      <c r="W213">
        <v>25</v>
      </c>
      <c r="X213">
        <v>4</v>
      </c>
    </row>
    <row r="214" spans="1:24" x14ac:dyDescent="0.3">
      <c r="A214" t="s">
        <v>268</v>
      </c>
      <c r="B214" t="s">
        <v>346</v>
      </c>
      <c r="C214" t="s">
        <v>234</v>
      </c>
      <c r="D214">
        <v>350</v>
      </c>
      <c r="E214">
        <v>110</v>
      </c>
      <c r="F214">
        <v>13</v>
      </c>
      <c r="G214">
        <v>19</v>
      </c>
      <c r="H214">
        <v>8</v>
      </c>
      <c r="I214">
        <v>38</v>
      </c>
      <c r="J214">
        <v>0</v>
      </c>
      <c r="K214">
        <v>40</v>
      </c>
      <c r="L214">
        <v>13</v>
      </c>
      <c r="M214">
        <v>150</v>
      </c>
      <c r="N214">
        <v>6</v>
      </c>
      <c r="O214">
        <v>50</v>
      </c>
      <c r="P214">
        <v>17</v>
      </c>
      <c r="Q214">
        <v>1</v>
      </c>
      <c r="R214">
        <v>5</v>
      </c>
      <c r="S214">
        <v>43</v>
      </c>
      <c r="T214">
        <v>9</v>
      </c>
      <c r="U214">
        <v>10</v>
      </c>
      <c r="V214">
        <v>0</v>
      </c>
      <c r="W214">
        <v>30</v>
      </c>
      <c r="X214">
        <v>6</v>
      </c>
    </row>
    <row r="215" spans="1:24" x14ac:dyDescent="0.3">
      <c r="A215" t="s">
        <v>268</v>
      </c>
      <c r="B215" t="s">
        <v>347</v>
      </c>
      <c r="C215" t="s">
        <v>265</v>
      </c>
      <c r="D215">
        <v>480</v>
      </c>
      <c r="E215">
        <v>150</v>
      </c>
      <c r="F215">
        <v>16</v>
      </c>
      <c r="G215">
        <v>25</v>
      </c>
      <c r="H215">
        <v>10</v>
      </c>
      <c r="I215">
        <v>49</v>
      </c>
      <c r="J215">
        <v>0.5</v>
      </c>
      <c r="K215">
        <v>50</v>
      </c>
      <c r="L215">
        <v>17</v>
      </c>
      <c r="M215">
        <v>220</v>
      </c>
      <c r="N215">
        <v>9</v>
      </c>
      <c r="O215">
        <v>70</v>
      </c>
      <c r="P215">
        <v>23</v>
      </c>
      <c r="Q215">
        <v>2</v>
      </c>
      <c r="R215">
        <v>8</v>
      </c>
      <c r="S215">
        <v>62</v>
      </c>
      <c r="T215">
        <v>14</v>
      </c>
      <c r="U215">
        <v>15</v>
      </c>
      <c r="V215">
        <v>0</v>
      </c>
      <c r="W215">
        <v>40</v>
      </c>
      <c r="X215">
        <v>8</v>
      </c>
    </row>
    <row r="216" spans="1:24" x14ac:dyDescent="0.3">
      <c r="A216" t="s">
        <v>268</v>
      </c>
      <c r="B216" t="s">
        <v>348</v>
      </c>
      <c r="C216" t="s">
        <v>240</v>
      </c>
      <c r="D216">
        <v>240</v>
      </c>
      <c r="E216">
        <v>45</v>
      </c>
      <c r="F216">
        <v>5</v>
      </c>
      <c r="G216">
        <v>8</v>
      </c>
      <c r="H216">
        <v>3</v>
      </c>
      <c r="I216">
        <v>16</v>
      </c>
      <c r="J216">
        <v>0</v>
      </c>
      <c r="K216">
        <v>20</v>
      </c>
      <c r="L216">
        <v>7</v>
      </c>
      <c r="M216">
        <v>125</v>
      </c>
      <c r="N216">
        <v>5</v>
      </c>
      <c r="O216">
        <v>41</v>
      </c>
      <c r="P216">
        <v>14</v>
      </c>
      <c r="Q216">
        <v>1</v>
      </c>
      <c r="R216">
        <v>4</v>
      </c>
      <c r="S216">
        <v>35</v>
      </c>
      <c r="T216">
        <v>8</v>
      </c>
      <c r="U216">
        <v>10</v>
      </c>
      <c r="V216">
        <v>0</v>
      </c>
      <c r="W216">
        <v>25</v>
      </c>
      <c r="X216">
        <v>4</v>
      </c>
    </row>
    <row r="217" spans="1:24" x14ac:dyDescent="0.3">
      <c r="A217" t="s">
        <v>268</v>
      </c>
      <c r="B217" t="s">
        <v>349</v>
      </c>
      <c r="C217" t="s">
        <v>234</v>
      </c>
      <c r="D217">
        <v>290</v>
      </c>
      <c r="E217">
        <v>45</v>
      </c>
      <c r="F217">
        <v>5</v>
      </c>
      <c r="G217">
        <v>8</v>
      </c>
      <c r="H217">
        <v>3.5</v>
      </c>
      <c r="I217">
        <v>17</v>
      </c>
      <c r="J217">
        <v>0</v>
      </c>
      <c r="K217">
        <v>20</v>
      </c>
      <c r="L217">
        <v>7</v>
      </c>
      <c r="M217">
        <v>150</v>
      </c>
      <c r="N217">
        <v>6</v>
      </c>
      <c r="O217">
        <v>50</v>
      </c>
      <c r="P217">
        <v>17</v>
      </c>
      <c r="Q217">
        <v>1</v>
      </c>
      <c r="R217">
        <v>5</v>
      </c>
      <c r="S217">
        <v>43</v>
      </c>
      <c r="T217">
        <v>10</v>
      </c>
      <c r="U217">
        <v>15</v>
      </c>
      <c r="V217">
        <v>0</v>
      </c>
      <c r="W217">
        <v>30</v>
      </c>
      <c r="X217">
        <v>6</v>
      </c>
    </row>
    <row r="218" spans="1:24" x14ac:dyDescent="0.3">
      <c r="A218" t="s">
        <v>268</v>
      </c>
      <c r="B218" t="s">
        <v>350</v>
      </c>
      <c r="C218" t="s">
        <v>265</v>
      </c>
      <c r="D218">
        <v>390</v>
      </c>
      <c r="E218">
        <v>50</v>
      </c>
      <c r="F218">
        <v>6</v>
      </c>
      <c r="G218">
        <v>9</v>
      </c>
      <c r="H218">
        <v>3.5</v>
      </c>
      <c r="I218">
        <v>18</v>
      </c>
      <c r="J218">
        <v>0</v>
      </c>
      <c r="K218">
        <v>25</v>
      </c>
      <c r="L218">
        <v>8</v>
      </c>
      <c r="M218">
        <v>220</v>
      </c>
      <c r="N218">
        <v>9</v>
      </c>
      <c r="O218">
        <v>71</v>
      </c>
      <c r="P218">
        <v>24</v>
      </c>
      <c r="Q218">
        <v>2</v>
      </c>
      <c r="R218">
        <v>8</v>
      </c>
      <c r="S218">
        <v>62</v>
      </c>
      <c r="T218">
        <v>14</v>
      </c>
      <c r="U218">
        <v>20</v>
      </c>
      <c r="V218">
        <v>0</v>
      </c>
      <c r="W218">
        <v>45</v>
      </c>
      <c r="X218">
        <v>8</v>
      </c>
    </row>
    <row r="219" spans="1:24" x14ac:dyDescent="0.3">
      <c r="A219" t="s">
        <v>268</v>
      </c>
      <c r="B219" t="s">
        <v>351</v>
      </c>
      <c r="C219" t="s">
        <v>240</v>
      </c>
      <c r="D219">
        <v>280</v>
      </c>
      <c r="E219">
        <v>100</v>
      </c>
      <c r="F219">
        <v>11</v>
      </c>
      <c r="G219">
        <v>17</v>
      </c>
      <c r="H219">
        <v>7</v>
      </c>
      <c r="I219">
        <v>33</v>
      </c>
      <c r="J219">
        <v>0</v>
      </c>
      <c r="K219">
        <v>35</v>
      </c>
      <c r="L219">
        <v>12</v>
      </c>
      <c r="M219">
        <v>140</v>
      </c>
      <c r="N219">
        <v>6</v>
      </c>
      <c r="O219">
        <v>38</v>
      </c>
      <c r="P219">
        <v>13</v>
      </c>
      <c r="Q219">
        <v>0</v>
      </c>
      <c r="R219">
        <v>0</v>
      </c>
      <c r="S219">
        <v>33</v>
      </c>
      <c r="T219">
        <v>8</v>
      </c>
      <c r="U219">
        <v>10</v>
      </c>
      <c r="V219">
        <v>0</v>
      </c>
      <c r="W219">
        <v>25</v>
      </c>
      <c r="X219">
        <v>2</v>
      </c>
    </row>
    <row r="220" spans="1:24" x14ac:dyDescent="0.3">
      <c r="A220" t="s">
        <v>268</v>
      </c>
      <c r="B220" t="s">
        <v>352</v>
      </c>
      <c r="C220" t="s">
        <v>234</v>
      </c>
      <c r="D220">
        <v>340</v>
      </c>
      <c r="E220">
        <v>110</v>
      </c>
      <c r="F220">
        <v>13</v>
      </c>
      <c r="G220">
        <v>19</v>
      </c>
      <c r="H220">
        <v>7</v>
      </c>
      <c r="I220">
        <v>37</v>
      </c>
      <c r="J220">
        <v>0</v>
      </c>
      <c r="K220">
        <v>40</v>
      </c>
      <c r="L220">
        <v>13</v>
      </c>
      <c r="M220">
        <v>170</v>
      </c>
      <c r="N220">
        <v>7</v>
      </c>
      <c r="O220">
        <v>46</v>
      </c>
      <c r="P220">
        <v>15</v>
      </c>
      <c r="Q220">
        <v>1</v>
      </c>
      <c r="R220">
        <v>2</v>
      </c>
      <c r="S220">
        <v>41</v>
      </c>
      <c r="T220">
        <v>9</v>
      </c>
      <c r="U220">
        <v>10</v>
      </c>
      <c r="V220">
        <v>0</v>
      </c>
      <c r="W220">
        <v>30</v>
      </c>
      <c r="X220">
        <v>2</v>
      </c>
    </row>
    <row r="221" spans="1:24" x14ac:dyDescent="0.3">
      <c r="A221" t="s">
        <v>268</v>
      </c>
      <c r="B221" t="s">
        <v>353</v>
      </c>
      <c r="C221" t="s">
        <v>265</v>
      </c>
      <c r="D221">
        <v>460</v>
      </c>
      <c r="E221">
        <v>150</v>
      </c>
      <c r="F221">
        <v>16</v>
      </c>
      <c r="G221">
        <v>25</v>
      </c>
      <c r="H221">
        <v>10</v>
      </c>
      <c r="I221">
        <v>48</v>
      </c>
      <c r="J221">
        <v>0.5</v>
      </c>
      <c r="K221">
        <v>50</v>
      </c>
      <c r="L221">
        <v>17</v>
      </c>
      <c r="M221">
        <v>250</v>
      </c>
      <c r="N221">
        <v>10</v>
      </c>
      <c r="O221">
        <v>65</v>
      </c>
      <c r="P221">
        <v>22</v>
      </c>
      <c r="Q221">
        <v>1</v>
      </c>
      <c r="R221">
        <v>3</v>
      </c>
      <c r="S221">
        <v>59</v>
      </c>
      <c r="T221">
        <v>13</v>
      </c>
      <c r="U221">
        <v>15</v>
      </c>
      <c r="V221">
        <v>0</v>
      </c>
      <c r="W221">
        <v>40</v>
      </c>
      <c r="X221">
        <v>4</v>
      </c>
    </row>
    <row r="222" spans="1:24" x14ac:dyDescent="0.3">
      <c r="A222" t="s">
        <v>268</v>
      </c>
      <c r="B222" t="s">
        <v>354</v>
      </c>
      <c r="C222" t="s">
        <v>240</v>
      </c>
      <c r="D222">
        <v>230</v>
      </c>
      <c r="E222">
        <v>45</v>
      </c>
      <c r="F222">
        <v>5</v>
      </c>
      <c r="G222">
        <v>8</v>
      </c>
      <c r="H222">
        <v>3</v>
      </c>
      <c r="I222">
        <v>16</v>
      </c>
      <c r="J222">
        <v>0</v>
      </c>
      <c r="K222">
        <v>20</v>
      </c>
      <c r="L222">
        <v>7</v>
      </c>
      <c r="M222">
        <v>140</v>
      </c>
      <c r="N222">
        <v>6</v>
      </c>
      <c r="O222">
        <v>38</v>
      </c>
      <c r="P222">
        <v>13</v>
      </c>
      <c r="Q222">
        <v>0</v>
      </c>
      <c r="R222">
        <v>0</v>
      </c>
      <c r="S222">
        <v>33</v>
      </c>
      <c r="T222">
        <v>8</v>
      </c>
      <c r="U222">
        <v>10</v>
      </c>
      <c r="V222">
        <v>0</v>
      </c>
      <c r="W222">
        <v>25</v>
      </c>
      <c r="X222">
        <v>2</v>
      </c>
    </row>
    <row r="223" spans="1:24" x14ac:dyDescent="0.3">
      <c r="A223" t="s">
        <v>268</v>
      </c>
      <c r="B223" t="s">
        <v>355</v>
      </c>
      <c r="C223" t="s">
        <v>234</v>
      </c>
      <c r="D223">
        <v>270</v>
      </c>
      <c r="E223">
        <v>45</v>
      </c>
      <c r="F223">
        <v>5</v>
      </c>
      <c r="G223">
        <v>8</v>
      </c>
      <c r="H223">
        <v>3</v>
      </c>
      <c r="I223">
        <v>16</v>
      </c>
      <c r="J223">
        <v>0</v>
      </c>
      <c r="K223">
        <v>20</v>
      </c>
      <c r="L223">
        <v>7</v>
      </c>
      <c r="M223">
        <v>170</v>
      </c>
      <c r="N223">
        <v>7</v>
      </c>
      <c r="O223">
        <v>47</v>
      </c>
      <c r="P223">
        <v>16</v>
      </c>
      <c r="Q223">
        <v>1</v>
      </c>
      <c r="R223">
        <v>2</v>
      </c>
      <c r="S223">
        <v>41</v>
      </c>
      <c r="T223">
        <v>10</v>
      </c>
      <c r="U223">
        <v>15</v>
      </c>
      <c r="V223">
        <v>0</v>
      </c>
      <c r="W223">
        <v>30</v>
      </c>
      <c r="X223">
        <v>2</v>
      </c>
    </row>
    <row r="224" spans="1:24" x14ac:dyDescent="0.3">
      <c r="A224" t="s">
        <v>268</v>
      </c>
      <c r="B224" t="s">
        <v>356</v>
      </c>
      <c r="C224" t="s">
        <v>265</v>
      </c>
      <c r="D224">
        <v>370</v>
      </c>
      <c r="E224">
        <v>50</v>
      </c>
      <c r="F224">
        <v>6</v>
      </c>
      <c r="G224">
        <v>8</v>
      </c>
      <c r="H224">
        <v>3.5</v>
      </c>
      <c r="I224">
        <v>17</v>
      </c>
      <c r="J224">
        <v>0</v>
      </c>
      <c r="K224">
        <v>25</v>
      </c>
      <c r="L224">
        <v>8</v>
      </c>
      <c r="M224">
        <v>250</v>
      </c>
      <c r="N224">
        <v>10</v>
      </c>
      <c r="O224">
        <v>65</v>
      </c>
      <c r="P224">
        <v>22</v>
      </c>
      <c r="Q224">
        <v>1</v>
      </c>
      <c r="R224">
        <v>3</v>
      </c>
      <c r="S224">
        <v>59</v>
      </c>
      <c r="T224">
        <v>14</v>
      </c>
      <c r="U224">
        <v>20</v>
      </c>
      <c r="V224">
        <v>0</v>
      </c>
      <c r="W224">
        <v>45</v>
      </c>
      <c r="X224">
        <v>4</v>
      </c>
    </row>
    <row r="225" spans="1:24" x14ac:dyDescent="0.3">
      <c r="A225" t="s">
        <v>268</v>
      </c>
      <c r="B225" t="s">
        <v>357</v>
      </c>
      <c r="C225" t="s">
        <v>240</v>
      </c>
      <c r="D225">
        <v>450</v>
      </c>
      <c r="E225">
        <v>160</v>
      </c>
      <c r="F225">
        <v>18</v>
      </c>
      <c r="G225">
        <v>28</v>
      </c>
      <c r="H225">
        <v>12</v>
      </c>
      <c r="I225">
        <v>59</v>
      </c>
      <c r="J225">
        <v>1</v>
      </c>
      <c r="K225">
        <v>65</v>
      </c>
      <c r="L225">
        <v>21</v>
      </c>
      <c r="M225">
        <v>125</v>
      </c>
      <c r="N225">
        <v>5</v>
      </c>
      <c r="O225">
        <v>65</v>
      </c>
      <c r="P225">
        <v>22</v>
      </c>
      <c r="Q225">
        <v>1</v>
      </c>
      <c r="R225">
        <v>3</v>
      </c>
      <c r="S225">
        <v>57</v>
      </c>
      <c r="T225">
        <v>7</v>
      </c>
      <c r="U225">
        <v>15</v>
      </c>
      <c r="V225">
        <v>0</v>
      </c>
      <c r="W225">
        <v>20</v>
      </c>
      <c r="X225">
        <v>4</v>
      </c>
    </row>
    <row r="226" spans="1:24" x14ac:dyDescent="0.3">
      <c r="A226" t="s">
        <v>268</v>
      </c>
      <c r="B226" t="s">
        <v>358</v>
      </c>
      <c r="C226" t="s">
        <v>234</v>
      </c>
      <c r="D226">
        <v>550</v>
      </c>
      <c r="E226">
        <v>200</v>
      </c>
      <c r="F226">
        <v>22</v>
      </c>
      <c r="G226">
        <v>34</v>
      </c>
      <c r="H226">
        <v>14</v>
      </c>
      <c r="I226">
        <v>71</v>
      </c>
      <c r="J226">
        <v>1</v>
      </c>
      <c r="K226">
        <v>75</v>
      </c>
      <c r="L226">
        <v>25</v>
      </c>
      <c r="M226">
        <v>160</v>
      </c>
      <c r="N226">
        <v>7</v>
      </c>
      <c r="O226">
        <v>80</v>
      </c>
      <c r="P226">
        <v>27</v>
      </c>
      <c r="Q226">
        <v>1</v>
      </c>
      <c r="R226">
        <v>4</v>
      </c>
      <c r="S226">
        <v>71</v>
      </c>
      <c r="T226">
        <v>9</v>
      </c>
      <c r="U226">
        <v>15</v>
      </c>
      <c r="V226">
        <v>0</v>
      </c>
      <c r="W226">
        <v>25</v>
      </c>
      <c r="X226">
        <v>4</v>
      </c>
    </row>
    <row r="227" spans="1:24" x14ac:dyDescent="0.3">
      <c r="A227" t="s">
        <v>268</v>
      </c>
      <c r="B227" t="s">
        <v>359</v>
      </c>
      <c r="C227" t="s">
        <v>265</v>
      </c>
      <c r="D227">
        <v>670</v>
      </c>
      <c r="E227">
        <v>240</v>
      </c>
      <c r="F227">
        <v>26</v>
      </c>
      <c r="G227">
        <v>41</v>
      </c>
      <c r="H227">
        <v>17</v>
      </c>
      <c r="I227">
        <v>85</v>
      </c>
      <c r="J227">
        <v>1</v>
      </c>
      <c r="K227">
        <v>90</v>
      </c>
      <c r="L227">
        <v>30</v>
      </c>
      <c r="M227">
        <v>190</v>
      </c>
      <c r="N227">
        <v>8</v>
      </c>
      <c r="O227">
        <v>98</v>
      </c>
      <c r="P227">
        <v>33</v>
      </c>
      <c r="Q227">
        <v>1</v>
      </c>
      <c r="R227">
        <v>4</v>
      </c>
      <c r="S227">
        <v>88</v>
      </c>
      <c r="T227">
        <v>11</v>
      </c>
      <c r="U227">
        <v>20</v>
      </c>
      <c r="V227">
        <v>0</v>
      </c>
      <c r="W227">
        <v>35</v>
      </c>
      <c r="X227">
        <v>4</v>
      </c>
    </row>
    <row r="228" spans="1:24" x14ac:dyDescent="0.3">
      <c r="A228" t="s">
        <v>268</v>
      </c>
      <c r="B228" t="s">
        <v>360</v>
      </c>
      <c r="C228" t="s">
        <v>240</v>
      </c>
      <c r="D228">
        <v>450</v>
      </c>
      <c r="E228">
        <v>170</v>
      </c>
      <c r="F228">
        <v>19</v>
      </c>
      <c r="G228">
        <v>29</v>
      </c>
      <c r="H228">
        <v>12</v>
      </c>
      <c r="I228">
        <v>60</v>
      </c>
      <c r="J228">
        <v>1</v>
      </c>
      <c r="K228">
        <v>65</v>
      </c>
      <c r="L228">
        <v>22</v>
      </c>
      <c r="M228">
        <v>125</v>
      </c>
      <c r="N228">
        <v>5</v>
      </c>
      <c r="O228">
        <v>64</v>
      </c>
      <c r="P228">
        <v>21</v>
      </c>
      <c r="Q228">
        <v>0</v>
      </c>
      <c r="R228">
        <v>0</v>
      </c>
      <c r="S228">
        <v>57</v>
      </c>
      <c r="T228">
        <v>7</v>
      </c>
      <c r="U228">
        <v>15</v>
      </c>
      <c r="V228">
        <v>0</v>
      </c>
      <c r="W228">
        <v>25</v>
      </c>
      <c r="X228">
        <v>2</v>
      </c>
    </row>
    <row r="229" spans="1:24" x14ac:dyDescent="0.3">
      <c r="A229" t="s">
        <v>268</v>
      </c>
      <c r="B229" t="s">
        <v>361</v>
      </c>
      <c r="C229" t="s">
        <v>234</v>
      </c>
      <c r="D229">
        <v>550</v>
      </c>
      <c r="E229">
        <v>200</v>
      </c>
      <c r="F229">
        <v>23</v>
      </c>
      <c r="G229">
        <v>35</v>
      </c>
      <c r="H229">
        <v>15</v>
      </c>
      <c r="I229">
        <v>73</v>
      </c>
      <c r="J229">
        <v>1</v>
      </c>
      <c r="K229">
        <v>80</v>
      </c>
      <c r="L229">
        <v>27</v>
      </c>
      <c r="M229">
        <v>160</v>
      </c>
      <c r="N229">
        <v>7</v>
      </c>
      <c r="O229">
        <v>79</v>
      </c>
      <c r="P229">
        <v>26</v>
      </c>
      <c r="Q229">
        <v>0</v>
      </c>
      <c r="R229">
        <v>0</v>
      </c>
      <c r="S229">
        <v>71</v>
      </c>
      <c r="T229">
        <v>9</v>
      </c>
      <c r="U229">
        <v>20</v>
      </c>
      <c r="V229">
        <v>0</v>
      </c>
      <c r="W229">
        <v>30</v>
      </c>
      <c r="X229">
        <v>2</v>
      </c>
    </row>
    <row r="230" spans="1:24" x14ac:dyDescent="0.3">
      <c r="A230" t="s">
        <v>268</v>
      </c>
      <c r="B230" t="s">
        <v>362</v>
      </c>
      <c r="C230" t="s">
        <v>265</v>
      </c>
      <c r="D230">
        <v>670</v>
      </c>
      <c r="E230">
        <v>250</v>
      </c>
      <c r="F230">
        <v>27</v>
      </c>
      <c r="G230">
        <v>42</v>
      </c>
      <c r="H230">
        <v>17</v>
      </c>
      <c r="I230">
        <v>87</v>
      </c>
      <c r="J230">
        <v>1.5</v>
      </c>
      <c r="K230">
        <v>95</v>
      </c>
      <c r="L230">
        <v>32</v>
      </c>
      <c r="M230">
        <v>190</v>
      </c>
      <c r="N230">
        <v>8</v>
      </c>
      <c r="O230">
        <v>96</v>
      </c>
      <c r="P230">
        <v>32</v>
      </c>
      <c r="Q230">
        <v>0</v>
      </c>
      <c r="R230">
        <v>0</v>
      </c>
      <c r="S230">
        <v>88</v>
      </c>
      <c r="T230">
        <v>11</v>
      </c>
      <c r="U230">
        <v>20</v>
      </c>
      <c r="V230">
        <v>0</v>
      </c>
      <c r="W230">
        <v>35</v>
      </c>
      <c r="X230">
        <v>2</v>
      </c>
    </row>
    <row r="231" spans="1:24" x14ac:dyDescent="0.3">
      <c r="A231" t="s">
        <v>268</v>
      </c>
      <c r="B231" t="s">
        <v>363</v>
      </c>
      <c r="C231" t="s">
        <v>240</v>
      </c>
      <c r="D231">
        <v>530</v>
      </c>
      <c r="E231">
        <v>200</v>
      </c>
      <c r="F231">
        <v>23</v>
      </c>
      <c r="G231">
        <v>35</v>
      </c>
      <c r="H231">
        <v>14</v>
      </c>
      <c r="I231">
        <v>72</v>
      </c>
      <c r="J231">
        <v>1</v>
      </c>
      <c r="K231">
        <v>65</v>
      </c>
      <c r="L231">
        <v>22</v>
      </c>
      <c r="M231">
        <v>135</v>
      </c>
      <c r="N231">
        <v>6</v>
      </c>
      <c r="O231">
        <v>76</v>
      </c>
      <c r="P231">
        <v>25</v>
      </c>
      <c r="Q231">
        <v>1</v>
      </c>
      <c r="R231">
        <v>5</v>
      </c>
      <c r="S231">
        <v>67</v>
      </c>
      <c r="T231">
        <v>8</v>
      </c>
      <c r="U231">
        <v>15</v>
      </c>
      <c r="V231">
        <v>0</v>
      </c>
      <c r="W231">
        <v>25</v>
      </c>
      <c r="X231">
        <v>4</v>
      </c>
    </row>
    <row r="232" spans="1:24" x14ac:dyDescent="0.3">
      <c r="A232" t="s">
        <v>268</v>
      </c>
      <c r="B232" t="s">
        <v>364</v>
      </c>
      <c r="C232" t="s">
        <v>234</v>
      </c>
      <c r="D232">
        <v>630</v>
      </c>
      <c r="E232">
        <v>240</v>
      </c>
      <c r="F232">
        <v>26</v>
      </c>
      <c r="G232">
        <v>41</v>
      </c>
      <c r="H232">
        <v>17</v>
      </c>
      <c r="I232">
        <v>85</v>
      </c>
      <c r="J232">
        <v>1</v>
      </c>
      <c r="K232">
        <v>80</v>
      </c>
      <c r="L232">
        <v>26</v>
      </c>
      <c r="M232">
        <v>160</v>
      </c>
      <c r="N232">
        <v>7</v>
      </c>
      <c r="O232">
        <v>91</v>
      </c>
      <c r="P232">
        <v>30</v>
      </c>
      <c r="Q232">
        <v>1</v>
      </c>
      <c r="R232">
        <v>5</v>
      </c>
      <c r="S232">
        <v>81</v>
      </c>
      <c r="T232">
        <v>9</v>
      </c>
      <c r="U232">
        <v>15</v>
      </c>
      <c r="V232">
        <v>0</v>
      </c>
      <c r="W232">
        <v>30</v>
      </c>
      <c r="X232">
        <v>4</v>
      </c>
    </row>
    <row r="233" spans="1:24" x14ac:dyDescent="0.3">
      <c r="A233" t="s">
        <v>268</v>
      </c>
      <c r="B233" t="s">
        <v>365</v>
      </c>
      <c r="C233" t="s">
        <v>265</v>
      </c>
      <c r="D233">
        <v>760</v>
      </c>
      <c r="E233">
        <v>280</v>
      </c>
      <c r="F233">
        <v>31</v>
      </c>
      <c r="G233">
        <v>48</v>
      </c>
      <c r="H233">
        <v>20</v>
      </c>
      <c r="I233">
        <v>101</v>
      </c>
      <c r="J233">
        <v>1.5</v>
      </c>
      <c r="K233">
        <v>95</v>
      </c>
      <c r="L233">
        <v>32</v>
      </c>
      <c r="M233">
        <v>200</v>
      </c>
      <c r="N233">
        <v>8</v>
      </c>
      <c r="O233">
        <v>111</v>
      </c>
      <c r="P233">
        <v>37</v>
      </c>
      <c r="Q233">
        <v>1</v>
      </c>
      <c r="R233">
        <v>5</v>
      </c>
      <c r="S233">
        <v>99</v>
      </c>
      <c r="T233">
        <v>12</v>
      </c>
      <c r="U233">
        <v>20</v>
      </c>
      <c r="V233">
        <v>0</v>
      </c>
      <c r="W233">
        <v>35</v>
      </c>
      <c r="X233">
        <v>6</v>
      </c>
    </row>
    <row r="234" spans="1:24" x14ac:dyDescent="0.3">
      <c r="A234" t="s">
        <v>366</v>
      </c>
      <c r="B234" t="s">
        <v>367</v>
      </c>
      <c r="C234" t="s">
        <v>240</v>
      </c>
      <c r="D234">
        <v>220</v>
      </c>
      <c r="E234">
        <v>5</v>
      </c>
      <c r="F234">
        <v>0.5</v>
      </c>
      <c r="G234">
        <v>1</v>
      </c>
      <c r="H234">
        <v>0</v>
      </c>
      <c r="I234">
        <v>0</v>
      </c>
      <c r="J234">
        <v>0</v>
      </c>
      <c r="K234">
        <v>5</v>
      </c>
      <c r="L234">
        <v>1</v>
      </c>
      <c r="M234">
        <v>40</v>
      </c>
      <c r="N234">
        <v>2</v>
      </c>
      <c r="O234">
        <v>50</v>
      </c>
      <c r="P234">
        <v>17</v>
      </c>
      <c r="Q234">
        <v>3</v>
      </c>
      <c r="R234">
        <v>12</v>
      </c>
      <c r="S234">
        <v>44</v>
      </c>
      <c r="T234">
        <v>2</v>
      </c>
      <c r="U234">
        <v>0</v>
      </c>
      <c r="V234">
        <v>2</v>
      </c>
      <c r="W234">
        <v>6</v>
      </c>
      <c r="X234">
        <v>2</v>
      </c>
    </row>
    <row r="235" spans="1:24" x14ac:dyDescent="0.3">
      <c r="A235" t="s">
        <v>366</v>
      </c>
      <c r="B235" t="s">
        <v>368</v>
      </c>
      <c r="C235" t="s">
        <v>234</v>
      </c>
      <c r="D235">
        <v>260</v>
      </c>
      <c r="E235">
        <v>5</v>
      </c>
      <c r="F235">
        <v>1</v>
      </c>
      <c r="G235">
        <v>1</v>
      </c>
      <c r="H235">
        <v>0</v>
      </c>
      <c r="I235">
        <v>0</v>
      </c>
      <c r="J235">
        <v>0</v>
      </c>
      <c r="K235">
        <v>5</v>
      </c>
      <c r="L235">
        <v>1</v>
      </c>
      <c r="M235">
        <v>50</v>
      </c>
      <c r="N235">
        <v>2</v>
      </c>
      <c r="O235">
        <v>62</v>
      </c>
      <c r="P235">
        <v>21</v>
      </c>
      <c r="Q235">
        <v>4</v>
      </c>
      <c r="R235">
        <v>15</v>
      </c>
      <c r="S235">
        <v>54</v>
      </c>
      <c r="T235">
        <v>3</v>
      </c>
      <c r="U235">
        <v>0</v>
      </c>
      <c r="V235">
        <v>4</v>
      </c>
      <c r="W235">
        <v>8</v>
      </c>
      <c r="X235">
        <v>2</v>
      </c>
    </row>
    <row r="236" spans="1:24" x14ac:dyDescent="0.3">
      <c r="A236" t="s">
        <v>366</v>
      </c>
      <c r="B236" t="s">
        <v>369</v>
      </c>
      <c r="C236" t="s">
        <v>265</v>
      </c>
      <c r="D236">
        <v>340</v>
      </c>
      <c r="E236">
        <v>10</v>
      </c>
      <c r="F236">
        <v>1</v>
      </c>
      <c r="G236">
        <v>2</v>
      </c>
      <c r="H236">
        <v>0.5</v>
      </c>
      <c r="I236">
        <v>3</v>
      </c>
      <c r="J236">
        <v>0</v>
      </c>
      <c r="K236">
        <v>5</v>
      </c>
      <c r="L236">
        <v>2</v>
      </c>
      <c r="M236">
        <v>65</v>
      </c>
      <c r="N236">
        <v>3</v>
      </c>
      <c r="O236">
        <v>79</v>
      </c>
      <c r="P236">
        <v>26</v>
      </c>
      <c r="Q236">
        <v>5</v>
      </c>
      <c r="R236">
        <v>19</v>
      </c>
      <c r="S236">
        <v>70</v>
      </c>
      <c r="T236">
        <v>4</v>
      </c>
      <c r="U236">
        <v>0</v>
      </c>
      <c r="V236">
        <v>4</v>
      </c>
      <c r="W236">
        <v>10</v>
      </c>
      <c r="X236">
        <v>2</v>
      </c>
    </row>
    <row r="237" spans="1:24" x14ac:dyDescent="0.3">
      <c r="A237" t="s">
        <v>366</v>
      </c>
      <c r="B237" t="s">
        <v>370</v>
      </c>
      <c r="C237" t="s">
        <v>240</v>
      </c>
      <c r="D237">
        <v>210</v>
      </c>
      <c r="E237">
        <v>5</v>
      </c>
      <c r="F237">
        <v>0.5</v>
      </c>
      <c r="G237">
        <v>1</v>
      </c>
      <c r="H237">
        <v>0</v>
      </c>
      <c r="I237">
        <v>0</v>
      </c>
      <c r="J237">
        <v>0</v>
      </c>
      <c r="K237">
        <v>5</v>
      </c>
      <c r="L237">
        <v>1</v>
      </c>
      <c r="M237">
        <v>50</v>
      </c>
      <c r="N237">
        <v>2</v>
      </c>
      <c r="O237">
        <v>47</v>
      </c>
      <c r="P237">
        <v>16</v>
      </c>
      <c r="Q237">
        <v>3</v>
      </c>
      <c r="R237">
        <v>10</v>
      </c>
      <c r="S237">
        <v>44</v>
      </c>
      <c r="T237">
        <v>3</v>
      </c>
      <c r="U237">
        <v>0</v>
      </c>
      <c r="V237">
        <v>30</v>
      </c>
      <c r="W237">
        <v>8</v>
      </c>
      <c r="X237">
        <v>2</v>
      </c>
    </row>
    <row r="238" spans="1:24" x14ac:dyDescent="0.3">
      <c r="A238" t="s">
        <v>366</v>
      </c>
      <c r="B238" t="s">
        <v>371</v>
      </c>
      <c r="C238" t="s">
        <v>234</v>
      </c>
      <c r="D238">
        <v>250</v>
      </c>
      <c r="E238">
        <v>5</v>
      </c>
      <c r="F238">
        <v>1</v>
      </c>
      <c r="G238">
        <v>1</v>
      </c>
      <c r="H238">
        <v>0</v>
      </c>
      <c r="I238">
        <v>0</v>
      </c>
      <c r="J238">
        <v>0</v>
      </c>
      <c r="K238">
        <v>5</v>
      </c>
      <c r="L238">
        <v>1</v>
      </c>
      <c r="M238">
        <v>60</v>
      </c>
      <c r="N238">
        <v>2</v>
      </c>
      <c r="O238">
        <v>58</v>
      </c>
      <c r="P238">
        <v>19</v>
      </c>
      <c r="Q238">
        <v>3</v>
      </c>
      <c r="R238">
        <v>13</v>
      </c>
      <c r="S238">
        <v>54</v>
      </c>
      <c r="T238">
        <v>4</v>
      </c>
      <c r="U238">
        <v>0</v>
      </c>
      <c r="V238">
        <v>35</v>
      </c>
      <c r="W238">
        <v>8</v>
      </c>
      <c r="X238">
        <v>4</v>
      </c>
    </row>
    <row r="239" spans="1:24" x14ac:dyDescent="0.3">
      <c r="A239" t="s">
        <v>366</v>
      </c>
      <c r="B239" t="s">
        <v>372</v>
      </c>
      <c r="C239" t="s">
        <v>265</v>
      </c>
      <c r="D239">
        <v>330</v>
      </c>
      <c r="E239">
        <v>10</v>
      </c>
      <c r="F239">
        <v>1</v>
      </c>
      <c r="G239">
        <v>2</v>
      </c>
      <c r="H239">
        <v>0.5</v>
      </c>
      <c r="I239">
        <v>3</v>
      </c>
      <c r="J239">
        <v>0</v>
      </c>
      <c r="K239">
        <v>5</v>
      </c>
      <c r="L239">
        <v>2</v>
      </c>
      <c r="M239">
        <v>80</v>
      </c>
      <c r="N239">
        <v>3</v>
      </c>
      <c r="O239">
        <v>74</v>
      </c>
      <c r="P239">
        <v>25</v>
      </c>
      <c r="Q239">
        <v>4</v>
      </c>
      <c r="R239">
        <v>16</v>
      </c>
      <c r="S239">
        <v>70</v>
      </c>
      <c r="T239">
        <v>5</v>
      </c>
      <c r="U239">
        <v>0</v>
      </c>
      <c r="V239">
        <v>45</v>
      </c>
      <c r="W239">
        <v>10</v>
      </c>
      <c r="X239">
        <v>4</v>
      </c>
    </row>
    <row r="240" spans="1:24" x14ac:dyDescent="0.3">
      <c r="A240" t="s">
        <v>366</v>
      </c>
      <c r="B240" t="s">
        <v>373</v>
      </c>
      <c r="C240" t="s">
        <v>240</v>
      </c>
      <c r="D240">
        <v>210</v>
      </c>
      <c r="E240">
        <v>5</v>
      </c>
      <c r="F240">
        <v>0.5</v>
      </c>
      <c r="G240">
        <v>1</v>
      </c>
      <c r="H240">
        <v>0</v>
      </c>
      <c r="I240">
        <v>0</v>
      </c>
      <c r="J240">
        <v>0</v>
      </c>
      <c r="K240">
        <v>5</v>
      </c>
      <c r="L240">
        <v>1</v>
      </c>
      <c r="M240">
        <v>40</v>
      </c>
      <c r="N240">
        <v>2</v>
      </c>
      <c r="O240">
        <v>50</v>
      </c>
      <c r="P240">
        <v>17</v>
      </c>
      <c r="Q240">
        <v>1</v>
      </c>
      <c r="R240">
        <v>4</v>
      </c>
      <c r="S240">
        <v>46</v>
      </c>
      <c r="T240">
        <v>2</v>
      </c>
      <c r="U240">
        <v>30</v>
      </c>
      <c r="V240">
        <v>20</v>
      </c>
      <c r="W240">
        <v>8</v>
      </c>
      <c r="X240">
        <v>2</v>
      </c>
    </row>
    <row r="241" spans="1:24" x14ac:dyDescent="0.3">
      <c r="A241" t="s">
        <v>366</v>
      </c>
      <c r="B241" t="s">
        <v>374</v>
      </c>
      <c r="C241" t="s">
        <v>234</v>
      </c>
      <c r="D241">
        <v>260</v>
      </c>
      <c r="E241">
        <v>10</v>
      </c>
      <c r="F241">
        <v>1</v>
      </c>
      <c r="G241">
        <v>1</v>
      </c>
      <c r="H241">
        <v>0</v>
      </c>
      <c r="I241">
        <v>0</v>
      </c>
      <c r="J241">
        <v>0</v>
      </c>
      <c r="K241">
        <v>5</v>
      </c>
      <c r="L241">
        <v>1</v>
      </c>
      <c r="M241">
        <v>45</v>
      </c>
      <c r="N241">
        <v>2</v>
      </c>
      <c r="O241">
        <v>61</v>
      </c>
      <c r="P241">
        <v>20</v>
      </c>
      <c r="Q241">
        <v>1</v>
      </c>
      <c r="R241">
        <v>5</v>
      </c>
      <c r="S241">
        <v>56</v>
      </c>
      <c r="T241">
        <v>3</v>
      </c>
      <c r="U241">
        <v>40</v>
      </c>
      <c r="V241">
        <v>25</v>
      </c>
      <c r="W241">
        <v>8</v>
      </c>
      <c r="X241">
        <v>2</v>
      </c>
    </row>
    <row r="242" spans="1:24" x14ac:dyDescent="0.3">
      <c r="A242" t="s">
        <v>366</v>
      </c>
      <c r="B242" t="s">
        <v>375</v>
      </c>
      <c r="C242" t="s">
        <v>265</v>
      </c>
      <c r="D242">
        <v>340</v>
      </c>
      <c r="E242">
        <v>10</v>
      </c>
      <c r="F242">
        <v>1</v>
      </c>
      <c r="G242">
        <v>2</v>
      </c>
      <c r="H242">
        <v>0.5</v>
      </c>
      <c r="I242">
        <v>3</v>
      </c>
      <c r="J242">
        <v>0</v>
      </c>
      <c r="K242">
        <v>5</v>
      </c>
      <c r="L242">
        <v>2</v>
      </c>
      <c r="M242">
        <v>60</v>
      </c>
      <c r="N242">
        <v>3</v>
      </c>
      <c r="O242">
        <v>78</v>
      </c>
      <c r="P242">
        <v>26</v>
      </c>
      <c r="Q242">
        <v>2</v>
      </c>
      <c r="R242">
        <v>6</v>
      </c>
      <c r="S242">
        <v>72</v>
      </c>
      <c r="T242">
        <v>4</v>
      </c>
      <c r="U242">
        <v>50</v>
      </c>
      <c r="V242">
        <v>30</v>
      </c>
      <c r="W242">
        <v>10</v>
      </c>
      <c r="X242">
        <v>2</v>
      </c>
    </row>
    <row r="243" spans="1:24" x14ac:dyDescent="0.3">
      <c r="A243" t="s">
        <v>366</v>
      </c>
      <c r="B243" t="s">
        <v>376</v>
      </c>
      <c r="C243" t="s">
        <v>240</v>
      </c>
      <c r="D243">
        <v>530</v>
      </c>
      <c r="E243">
        <v>140</v>
      </c>
      <c r="F243">
        <v>15</v>
      </c>
      <c r="G243">
        <v>24</v>
      </c>
      <c r="H243">
        <v>10</v>
      </c>
      <c r="I243">
        <v>49</v>
      </c>
      <c r="J243">
        <v>1</v>
      </c>
      <c r="K243">
        <v>60</v>
      </c>
      <c r="L243">
        <v>20</v>
      </c>
      <c r="M243">
        <v>160</v>
      </c>
      <c r="N243">
        <v>7</v>
      </c>
      <c r="O243">
        <v>86</v>
      </c>
      <c r="P243">
        <v>29</v>
      </c>
      <c r="Q243">
        <v>0</v>
      </c>
      <c r="R243">
        <v>0</v>
      </c>
      <c r="S243">
        <v>63</v>
      </c>
      <c r="T243">
        <v>11</v>
      </c>
      <c r="U243">
        <v>20</v>
      </c>
      <c r="V243">
        <v>0</v>
      </c>
      <c r="W243">
        <v>40</v>
      </c>
      <c r="X243">
        <v>0</v>
      </c>
    </row>
    <row r="244" spans="1:24" x14ac:dyDescent="0.3">
      <c r="A244" t="s">
        <v>366</v>
      </c>
      <c r="B244" t="s">
        <v>377</v>
      </c>
      <c r="C244" t="s">
        <v>234</v>
      </c>
      <c r="D244">
        <v>660</v>
      </c>
      <c r="E244">
        <v>170</v>
      </c>
      <c r="F244">
        <v>19</v>
      </c>
      <c r="G244">
        <v>29</v>
      </c>
      <c r="H244">
        <v>12</v>
      </c>
      <c r="I244">
        <v>61</v>
      </c>
      <c r="J244">
        <v>1</v>
      </c>
      <c r="K244">
        <v>75</v>
      </c>
      <c r="L244">
        <v>24</v>
      </c>
      <c r="M244">
        <v>200</v>
      </c>
      <c r="N244">
        <v>9</v>
      </c>
      <c r="O244">
        <v>109</v>
      </c>
      <c r="P244">
        <v>36</v>
      </c>
      <c r="Q244">
        <v>0</v>
      </c>
      <c r="R244">
        <v>0</v>
      </c>
      <c r="S244">
        <v>81</v>
      </c>
      <c r="T244">
        <v>14</v>
      </c>
      <c r="U244">
        <v>25</v>
      </c>
      <c r="V244">
        <v>0</v>
      </c>
      <c r="W244">
        <v>50</v>
      </c>
      <c r="X244">
        <v>0</v>
      </c>
    </row>
    <row r="245" spans="1:24" x14ac:dyDescent="0.3">
      <c r="A245" t="s">
        <v>366</v>
      </c>
      <c r="B245" t="s">
        <v>378</v>
      </c>
      <c r="C245" t="s">
        <v>265</v>
      </c>
      <c r="D245">
        <v>820</v>
      </c>
      <c r="E245">
        <v>210</v>
      </c>
      <c r="F245">
        <v>23</v>
      </c>
      <c r="G245">
        <v>35</v>
      </c>
      <c r="H245">
        <v>15</v>
      </c>
      <c r="I245">
        <v>73</v>
      </c>
      <c r="J245">
        <v>1</v>
      </c>
      <c r="K245">
        <v>90</v>
      </c>
      <c r="L245">
        <v>29</v>
      </c>
      <c r="M245">
        <v>260</v>
      </c>
      <c r="N245">
        <v>11</v>
      </c>
      <c r="O245">
        <v>135</v>
      </c>
      <c r="P245">
        <v>45</v>
      </c>
      <c r="Q245">
        <v>0</v>
      </c>
      <c r="R245">
        <v>0</v>
      </c>
      <c r="S245">
        <v>101</v>
      </c>
      <c r="T245">
        <v>18</v>
      </c>
      <c r="U245">
        <v>30</v>
      </c>
      <c r="V245">
        <v>0</v>
      </c>
      <c r="W245">
        <v>60</v>
      </c>
      <c r="X245">
        <v>0</v>
      </c>
    </row>
    <row r="246" spans="1:24" x14ac:dyDescent="0.3">
      <c r="A246" t="s">
        <v>366</v>
      </c>
      <c r="B246" t="s">
        <v>379</v>
      </c>
      <c r="C246" t="s">
        <v>240</v>
      </c>
      <c r="D246">
        <v>550</v>
      </c>
      <c r="E246">
        <v>150</v>
      </c>
      <c r="F246">
        <v>16</v>
      </c>
      <c r="G246">
        <v>25</v>
      </c>
      <c r="H246">
        <v>10</v>
      </c>
      <c r="I246">
        <v>52</v>
      </c>
      <c r="J246">
        <v>1</v>
      </c>
      <c r="K246">
        <v>60</v>
      </c>
      <c r="L246">
        <v>21</v>
      </c>
      <c r="M246">
        <v>160</v>
      </c>
      <c r="N246">
        <v>7</v>
      </c>
      <c r="O246">
        <v>90</v>
      </c>
      <c r="P246">
        <v>30</v>
      </c>
      <c r="Q246">
        <v>0</v>
      </c>
      <c r="R246">
        <v>0</v>
      </c>
      <c r="S246">
        <v>79</v>
      </c>
      <c r="T246">
        <v>12</v>
      </c>
      <c r="U246">
        <v>20</v>
      </c>
      <c r="V246">
        <v>0</v>
      </c>
      <c r="W246">
        <v>40</v>
      </c>
      <c r="X246">
        <v>0</v>
      </c>
    </row>
    <row r="247" spans="1:24" x14ac:dyDescent="0.3">
      <c r="A247" t="s">
        <v>366</v>
      </c>
      <c r="B247" t="s">
        <v>380</v>
      </c>
      <c r="C247" t="s">
        <v>234</v>
      </c>
      <c r="D247">
        <v>690</v>
      </c>
      <c r="E247">
        <v>180</v>
      </c>
      <c r="F247">
        <v>20</v>
      </c>
      <c r="G247">
        <v>30</v>
      </c>
      <c r="H247">
        <v>13</v>
      </c>
      <c r="I247">
        <v>63</v>
      </c>
      <c r="J247">
        <v>1</v>
      </c>
      <c r="K247">
        <v>75</v>
      </c>
      <c r="L247">
        <v>25</v>
      </c>
      <c r="M247">
        <v>210</v>
      </c>
      <c r="N247">
        <v>9</v>
      </c>
      <c r="O247">
        <v>114</v>
      </c>
      <c r="P247">
        <v>38</v>
      </c>
      <c r="Q247">
        <v>0</v>
      </c>
      <c r="R247">
        <v>0</v>
      </c>
      <c r="S247">
        <v>100</v>
      </c>
      <c r="T247">
        <v>15</v>
      </c>
      <c r="U247">
        <v>25</v>
      </c>
      <c r="V247">
        <v>0</v>
      </c>
      <c r="W247">
        <v>50</v>
      </c>
      <c r="X247">
        <v>0</v>
      </c>
    </row>
    <row r="248" spans="1:24" x14ac:dyDescent="0.3">
      <c r="A248" t="s">
        <v>366</v>
      </c>
      <c r="B248" t="s">
        <v>381</v>
      </c>
      <c r="C248" t="s">
        <v>265</v>
      </c>
      <c r="D248">
        <v>850</v>
      </c>
      <c r="E248">
        <v>210</v>
      </c>
      <c r="F248">
        <v>24</v>
      </c>
      <c r="G248">
        <v>36</v>
      </c>
      <c r="H248">
        <v>15</v>
      </c>
      <c r="I248">
        <v>75</v>
      </c>
      <c r="J248">
        <v>1</v>
      </c>
      <c r="K248">
        <v>90</v>
      </c>
      <c r="L248">
        <v>30</v>
      </c>
      <c r="M248">
        <v>260</v>
      </c>
      <c r="N248">
        <v>11</v>
      </c>
      <c r="O248">
        <v>140</v>
      </c>
      <c r="P248">
        <v>47</v>
      </c>
      <c r="Q248">
        <v>0</v>
      </c>
      <c r="R248">
        <v>0</v>
      </c>
      <c r="S248">
        <v>123</v>
      </c>
      <c r="T248">
        <v>18</v>
      </c>
      <c r="U248">
        <v>30</v>
      </c>
      <c r="V248">
        <v>0</v>
      </c>
      <c r="W248">
        <v>70</v>
      </c>
      <c r="X248">
        <v>0</v>
      </c>
    </row>
    <row r="249" spans="1:24" x14ac:dyDescent="0.3">
      <c r="A249" t="s">
        <v>366</v>
      </c>
      <c r="B249" t="s">
        <v>382</v>
      </c>
      <c r="C249" t="s">
        <v>240</v>
      </c>
      <c r="D249">
        <v>560</v>
      </c>
      <c r="E249">
        <v>150</v>
      </c>
      <c r="F249">
        <v>16</v>
      </c>
      <c r="G249">
        <v>25</v>
      </c>
      <c r="H249">
        <v>10</v>
      </c>
      <c r="I249">
        <v>51</v>
      </c>
      <c r="J249">
        <v>1</v>
      </c>
      <c r="K249">
        <v>60</v>
      </c>
      <c r="L249">
        <v>20</v>
      </c>
      <c r="M249">
        <v>240</v>
      </c>
      <c r="N249">
        <v>10</v>
      </c>
      <c r="O249">
        <v>91</v>
      </c>
      <c r="P249">
        <v>30</v>
      </c>
      <c r="Q249">
        <v>1</v>
      </c>
      <c r="R249">
        <v>5</v>
      </c>
      <c r="S249">
        <v>77</v>
      </c>
      <c r="T249">
        <v>12</v>
      </c>
      <c r="U249">
        <v>20</v>
      </c>
      <c r="V249">
        <v>0</v>
      </c>
      <c r="W249">
        <v>40</v>
      </c>
      <c r="X249">
        <v>8</v>
      </c>
    </row>
    <row r="250" spans="1:24" x14ac:dyDescent="0.3">
      <c r="A250" t="s">
        <v>366</v>
      </c>
      <c r="B250" t="s">
        <v>383</v>
      </c>
      <c r="C250" t="s">
        <v>234</v>
      </c>
      <c r="D250">
        <v>700</v>
      </c>
      <c r="E250">
        <v>180</v>
      </c>
      <c r="F250">
        <v>20</v>
      </c>
      <c r="G250">
        <v>30</v>
      </c>
      <c r="H250">
        <v>12</v>
      </c>
      <c r="I250">
        <v>62</v>
      </c>
      <c r="J250">
        <v>1</v>
      </c>
      <c r="K250">
        <v>75</v>
      </c>
      <c r="L250">
        <v>24</v>
      </c>
      <c r="M250">
        <v>300</v>
      </c>
      <c r="N250">
        <v>13</v>
      </c>
      <c r="O250">
        <v>114</v>
      </c>
      <c r="P250">
        <v>38</v>
      </c>
      <c r="Q250">
        <v>2</v>
      </c>
      <c r="R250">
        <v>6</v>
      </c>
      <c r="S250">
        <v>97</v>
      </c>
      <c r="T250">
        <v>15</v>
      </c>
      <c r="U250">
        <v>25</v>
      </c>
      <c r="V250">
        <v>0</v>
      </c>
      <c r="W250">
        <v>50</v>
      </c>
      <c r="X250">
        <v>10</v>
      </c>
    </row>
    <row r="251" spans="1:24" x14ac:dyDescent="0.3">
      <c r="A251" t="s">
        <v>366</v>
      </c>
      <c r="B251" t="s">
        <v>384</v>
      </c>
      <c r="C251" t="s">
        <v>265</v>
      </c>
      <c r="D251">
        <v>850</v>
      </c>
      <c r="E251">
        <v>210</v>
      </c>
      <c r="F251">
        <v>23</v>
      </c>
      <c r="G251">
        <v>36</v>
      </c>
      <c r="H251">
        <v>15</v>
      </c>
      <c r="I251">
        <v>74</v>
      </c>
      <c r="J251">
        <v>1</v>
      </c>
      <c r="K251">
        <v>85</v>
      </c>
      <c r="L251">
        <v>29</v>
      </c>
      <c r="M251">
        <v>380</v>
      </c>
      <c r="N251">
        <v>16</v>
      </c>
      <c r="O251">
        <v>141</v>
      </c>
      <c r="P251">
        <v>47</v>
      </c>
      <c r="Q251">
        <v>2</v>
      </c>
      <c r="R251">
        <v>8</v>
      </c>
      <c r="S251">
        <v>120</v>
      </c>
      <c r="T251">
        <v>19</v>
      </c>
      <c r="U251">
        <v>30</v>
      </c>
      <c r="V251">
        <v>0</v>
      </c>
      <c r="W251">
        <v>60</v>
      </c>
      <c r="X251">
        <v>15</v>
      </c>
    </row>
    <row r="252" spans="1:24" x14ac:dyDescent="0.3">
      <c r="A252" t="s">
        <v>366</v>
      </c>
      <c r="B252" t="s">
        <v>385</v>
      </c>
      <c r="C252" t="s">
        <v>234</v>
      </c>
      <c r="D252">
        <v>660</v>
      </c>
      <c r="E252">
        <v>170</v>
      </c>
      <c r="F252">
        <v>19</v>
      </c>
      <c r="G252">
        <v>29</v>
      </c>
      <c r="H252">
        <v>12</v>
      </c>
      <c r="I252">
        <v>61</v>
      </c>
      <c r="J252">
        <v>1</v>
      </c>
      <c r="K252">
        <v>75</v>
      </c>
      <c r="L252">
        <v>24</v>
      </c>
      <c r="M252">
        <v>210</v>
      </c>
      <c r="N252">
        <v>9</v>
      </c>
      <c r="O252">
        <v>109</v>
      </c>
      <c r="P252">
        <v>36</v>
      </c>
      <c r="Q252">
        <v>0</v>
      </c>
      <c r="R252">
        <v>0</v>
      </c>
      <c r="S252">
        <v>93</v>
      </c>
      <c r="T252">
        <v>14</v>
      </c>
      <c r="U252">
        <v>25</v>
      </c>
      <c r="V252">
        <v>0</v>
      </c>
      <c r="W252">
        <v>50</v>
      </c>
      <c r="X252">
        <v>0</v>
      </c>
    </row>
    <row r="253" spans="1:24" x14ac:dyDescent="0.3">
      <c r="A253" t="s">
        <v>366</v>
      </c>
      <c r="B253" t="s">
        <v>386</v>
      </c>
      <c r="C253" t="s">
        <v>265</v>
      </c>
      <c r="D253">
        <v>820</v>
      </c>
      <c r="E253">
        <v>210</v>
      </c>
      <c r="F253">
        <v>23</v>
      </c>
      <c r="G253">
        <v>35</v>
      </c>
      <c r="H253">
        <v>15</v>
      </c>
      <c r="I253">
        <v>73</v>
      </c>
      <c r="J253">
        <v>1</v>
      </c>
      <c r="K253">
        <v>90</v>
      </c>
      <c r="L253">
        <v>29</v>
      </c>
      <c r="M253">
        <v>260</v>
      </c>
      <c r="N253">
        <v>11</v>
      </c>
      <c r="O253">
        <v>135</v>
      </c>
      <c r="P253">
        <v>45</v>
      </c>
      <c r="Q253">
        <v>0</v>
      </c>
      <c r="R253">
        <v>0</v>
      </c>
      <c r="S253">
        <v>115</v>
      </c>
      <c r="T253">
        <v>18</v>
      </c>
      <c r="U253">
        <v>30</v>
      </c>
      <c r="V253">
        <v>0</v>
      </c>
      <c r="W253">
        <v>60</v>
      </c>
      <c r="X253">
        <v>0</v>
      </c>
    </row>
    <row r="254" spans="1:24" x14ac:dyDescent="0.3">
      <c r="A254" t="s">
        <v>366</v>
      </c>
      <c r="B254" t="s">
        <v>387</v>
      </c>
      <c r="C254" t="s">
        <v>160</v>
      </c>
      <c r="D254">
        <v>650</v>
      </c>
      <c r="E254">
        <v>210</v>
      </c>
      <c r="F254">
        <v>23</v>
      </c>
      <c r="G254">
        <v>35</v>
      </c>
      <c r="H254">
        <v>14</v>
      </c>
      <c r="I254">
        <v>72</v>
      </c>
      <c r="J254">
        <v>0.5</v>
      </c>
      <c r="K254">
        <v>50</v>
      </c>
      <c r="L254">
        <v>17</v>
      </c>
      <c r="M254">
        <v>180</v>
      </c>
      <c r="N254">
        <v>7</v>
      </c>
      <c r="O254">
        <v>96</v>
      </c>
      <c r="P254">
        <v>32</v>
      </c>
      <c r="Q254">
        <v>1</v>
      </c>
      <c r="R254">
        <v>6</v>
      </c>
      <c r="S254">
        <v>89</v>
      </c>
      <c r="T254">
        <v>13</v>
      </c>
      <c r="U254">
        <v>15</v>
      </c>
      <c r="V254">
        <v>0</v>
      </c>
      <c r="W254">
        <v>45</v>
      </c>
      <c r="X254">
        <v>8</v>
      </c>
    </row>
    <row r="255" spans="1:24" x14ac:dyDescent="0.3">
      <c r="A255" t="s">
        <v>366</v>
      </c>
      <c r="B255" t="s">
        <v>388</v>
      </c>
      <c r="C255" t="s">
        <v>389</v>
      </c>
      <c r="D255">
        <v>930</v>
      </c>
      <c r="E255">
        <v>290</v>
      </c>
      <c r="F255">
        <v>33</v>
      </c>
      <c r="G255">
        <v>50</v>
      </c>
      <c r="H255">
        <v>20</v>
      </c>
      <c r="I255">
        <v>102</v>
      </c>
      <c r="J255">
        <v>1</v>
      </c>
      <c r="K255">
        <v>75</v>
      </c>
      <c r="L255">
        <v>25</v>
      </c>
      <c r="M255">
        <v>260</v>
      </c>
      <c r="N255">
        <v>11</v>
      </c>
      <c r="O255">
        <v>139</v>
      </c>
      <c r="P255">
        <v>46</v>
      </c>
      <c r="Q255">
        <v>2</v>
      </c>
      <c r="R255">
        <v>7</v>
      </c>
      <c r="S255">
        <v>128</v>
      </c>
      <c r="T255">
        <v>20</v>
      </c>
      <c r="U255">
        <v>25</v>
      </c>
      <c r="V255">
        <v>0</v>
      </c>
      <c r="W255">
        <v>70</v>
      </c>
      <c r="X255">
        <v>10</v>
      </c>
    </row>
    <row r="256" spans="1:24" x14ac:dyDescent="0.3">
      <c r="A256" t="s">
        <v>366</v>
      </c>
      <c r="B256" t="s">
        <v>390</v>
      </c>
      <c r="C256" t="s">
        <v>391</v>
      </c>
      <c r="D256">
        <v>430</v>
      </c>
      <c r="E256">
        <v>140</v>
      </c>
      <c r="F256">
        <v>15</v>
      </c>
      <c r="G256">
        <v>24</v>
      </c>
      <c r="H256">
        <v>10</v>
      </c>
      <c r="I256">
        <v>48</v>
      </c>
      <c r="J256">
        <v>0</v>
      </c>
      <c r="K256">
        <v>35</v>
      </c>
      <c r="L256">
        <v>11</v>
      </c>
      <c r="M256">
        <v>120</v>
      </c>
      <c r="N256">
        <v>5</v>
      </c>
      <c r="O256">
        <v>64</v>
      </c>
      <c r="P256">
        <v>21</v>
      </c>
      <c r="Q256">
        <v>1</v>
      </c>
      <c r="R256">
        <v>4</v>
      </c>
      <c r="S256">
        <v>59</v>
      </c>
      <c r="T256">
        <v>9</v>
      </c>
      <c r="U256">
        <v>10</v>
      </c>
      <c r="V256">
        <v>0</v>
      </c>
      <c r="W256">
        <v>30</v>
      </c>
      <c r="X256">
        <v>4</v>
      </c>
    </row>
    <row r="257" spans="1:24" x14ac:dyDescent="0.3">
      <c r="A257" t="s">
        <v>366</v>
      </c>
      <c r="B257" t="s">
        <v>392</v>
      </c>
      <c r="C257" t="s">
        <v>393</v>
      </c>
      <c r="D257">
        <v>510</v>
      </c>
      <c r="E257">
        <v>150</v>
      </c>
      <c r="F257">
        <v>17</v>
      </c>
      <c r="G257">
        <v>26</v>
      </c>
      <c r="H257">
        <v>9</v>
      </c>
      <c r="I257">
        <v>44</v>
      </c>
      <c r="J257">
        <v>0.5</v>
      </c>
      <c r="K257">
        <v>45</v>
      </c>
      <c r="L257">
        <v>14</v>
      </c>
      <c r="M257">
        <v>280</v>
      </c>
      <c r="N257">
        <v>12</v>
      </c>
      <c r="O257">
        <v>80</v>
      </c>
      <c r="P257">
        <v>27</v>
      </c>
      <c r="Q257">
        <v>1</v>
      </c>
      <c r="R257">
        <v>4</v>
      </c>
      <c r="S257">
        <v>64</v>
      </c>
      <c r="T257">
        <v>12</v>
      </c>
      <c r="U257">
        <v>15</v>
      </c>
      <c r="V257">
        <v>0</v>
      </c>
      <c r="W257">
        <v>40</v>
      </c>
      <c r="X257">
        <v>8</v>
      </c>
    </row>
    <row r="258" spans="1:24" x14ac:dyDescent="0.3">
      <c r="A258" t="s">
        <v>366</v>
      </c>
      <c r="B258" t="s">
        <v>394</v>
      </c>
      <c r="C258" t="s">
        <v>395</v>
      </c>
      <c r="D258">
        <v>690</v>
      </c>
      <c r="E258">
        <v>200</v>
      </c>
      <c r="F258">
        <v>23</v>
      </c>
      <c r="G258">
        <v>35</v>
      </c>
      <c r="H258">
        <v>12</v>
      </c>
      <c r="I258">
        <v>58</v>
      </c>
      <c r="J258">
        <v>1</v>
      </c>
      <c r="K258">
        <v>55</v>
      </c>
      <c r="L258">
        <v>19</v>
      </c>
      <c r="M258">
        <v>380</v>
      </c>
      <c r="N258">
        <v>16</v>
      </c>
      <c r="O258">
        <v>106</v>
      </c>
      <c r="P258">
        <v>35</v>
      </c>
      <c r="Q258">
        <v>1</v>
      </c>
      <c r="R258">
        <v>5</v>
      </c>
      <c r="S258">
        <v>85</v>
      </c>
      <c r="T258">
        <v>15</v>
      </c>
      <c r="U258">
        <v>20</v>
      </c>
      <c r="V258">
        <v>0</v>
      </c>
      <c r="W258">
        <v>50</v>
      </c>
      <c r="X258">
        <v>10</v>
      </c>
    </row>
    <row r="259" spans="1:24" x14ac:dyDescent="0.3">
      <c r="A259" t="s">
        <v>366</v>
      </c>
      <c r="B259" t="s">
        <v>396</v>
      </c>
      <c r="C259" t="s">
        <v>126</v>
      </c>
      <c r="D259">
        <v>340</v>
      </c>
      <c r="E259">
        <v>100</v>
      </c>
      <c r="F259">
        <v>11</v>
      </c>
      <c r="G259">
        <v>17</v>
      </c>
      <c r="H259">
        <v>6</v>
      </c>
      <c r="I259">
        <v>29</v>
      </c>
      <c r="J259">
        <v>0</v>
      </c>
      <c r="K259">
        <v>30</v>
      </c>
      <c r="L259">
        <v>9</v>
      </c>
      <c r="M259">
        <v>190</v>
      </c>
      <c r="N259">
        <v>8</v>
      </c>
      <c r="O259">
        <v>53</v>
      </c>
      <c r="P259">
        <v>18</v>
      </c>
      <c r="Q259">
        <v>1</v>
      </c>
      <c r="R259">
        <v>2</v>
      </c>
      <c r="S259">
        <v>43</v>
      </c>
      <c r="T259">
        <v>8</v>
      </c>
      <c r="U259">
        <v>10</v>
      </c>
      <c r="V259">
        <v>0</v>
      </c>
      <c r="W259">
        <v>25</v>
      </c>
      <c r="X259">
        <v>6</v>
      </c>
    </row>
    <row r="260" spans="1:24" x14ac:dyDescent="0.3">
      <c r="A260" t="s">
        <v>366</v>
      </c>
      <c r="B260" t="s">
        <v>397</v>
      </c>
      <c r="C260" t="s">
        <v>398</v>
      </c>
      <c r="D260">
        <v>810</v>
      </c>
      <c r="E260">
        <v>290</v>
      </c>
      <c r="F260">
        <v>32</v>
      </c>
      <c r="G260">
        <v>50</v>
      </c>
      <c r="H260">
        <v>15</v>
      </c>
      <c r="I260">
        <v>76</v>
      </c>
      <c r="J260">
        <v>1</v>
      </c>
      <c r="K260">
        <v>60</v>
      </c>
      <c r="L260">
        <v>20</v>
      </c>
      <c r="M260">
        <v>400</v>
      </c>
      <c r="N260">
        <v>17</v>
      </c>
      <c r="O260">
        <v>114</v>
      </c>
      <c r="P260">
        <v>38</v>
      </c>
      <c r="Q260">
        <v>2</v>
      </c>
      <c r="R260">
        <v>9</v>
      </c>
      <c r="S260">
        <v>103</v>
      </c>
      <c r="T260">
        <v>21</v>
      </c>
      <c r="U260">
        <v>20</v>
      </c>
      <c r="V260">
        <v>0</v>
      </c>
      <c r="W260">
        <v>60</v>
      </c>
      <c r="X260">
        <v>6</v>
      </c>
    </row>
    <row r="261" spans="1:24" x14ac:dyDescent="0.3">
      <c r="A261" t="s">
        <v>366</v>
      </c>
      <c r="B261" t="s">
        <v>399</v>
      </c>
      <c r="C261" t="s">
        <v>107</v>
      </c>
      <c r="D261">
        <v>410</v>
      </c>
      <c r="E261">
        <v>150</v>
      </c>
      <c r="F261">
        <v>16</v>
      </c>
      <c r="G261">
        <v>25</v>
      </c>
      <c r="H261">
        <v>8</v>
      </c>
      <c r="I261">
        <v>38</v>
      </c>
      <c r="J261">
        <v>0</v>
      </c>
      <c r="K261">
        <v>30</v>
      </c>
      <c r="L261">
        <v>10</v>
      </c>
      <c r="M261">
        <v>200</v>
      </c>
      <c r="N261">
        <v>8</v>
      </c>
      <c r="O261">
        <v>57</v>
      </c>
      <c r="P261">
        <v>19</v>
      </c>
      <c r="Q261">
        <v>1</v>
      </c>
      <c r="R261">
        <v>5</v>
      </c>
      <c r="S261">
        <v>51</v>
      </c>
      <c r="T261">
        <v>10</v>
      </c>
      <c r="U261">
        <v>10</v>
      </c>
      <c r="V261">
        <v>0</v>
      </c>
      <c r="W261">
        <v>30</v>
      </c>
      <c r="X261">
        <v>4</v>
      </c>
    </row>
  </sheetData>
  <autoFilter ref="A1:X261" xr:uid="{89DA9EEC-36D8-4399-B1A9-DEF639FEA9FA}"/>
  <conditionalFormatting sqref="D2:D26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26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26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0954E-4565-4D18-A3E6-B7E21DD20A4E}">
  <dimension ref="A1:B25"/>
  <sheetViews>
    <sheetView workbookViewId="0">
      <selection activeCell="E5" sqref="E5"/>
    </sheetView>
  </sheetViews>
  <sheetFormatPr defaultRowHeight="14.4" x14ac:dyDescent="0.3"/>
  <cols>
    <col min="1" max="1" width="26.33203125" customWidth="1"/>
    <col min="2" max="2" width="26.77734375" customWidth="1"/>
  </cols>
  <sheetData>
    <row r="1" spans="1:2" ht="18" x14ac:dyDescent="0.35">
      <c r="A1" s="8" t="s">
        <v>400</v>
      </c>
      <c r="B1" s="8" t="s">
        <v>401</v>
      </c>
    </row>
    <row r="2" spans="1:2" x14ac:dyDescent="0.3">
      <c r="A2" t="s">
        <v>0</v>
      </c>
      <c r="B2" t="s">
        <v>402</v>
      </c>
    </row>
    <row r="3" spans="1:2" x14ac:dyDescent="0.3">
      <c r="A3" t="s">
        <v>1</v>
      </c>
      <c r="B3" t="s">
        <v>403</v>
      </c>
    </row>
    <row r="4" spans="1:2" x14ac:dyDescent="0.3">
      <c r="A4" t="s">
        <v>2</v>
      </c>
      <c r="B4" t="s">
        <v>404</v>
      </c>
    </row>
    <row r="5" spans="1:2" x14ac:dyDescent="0.3">
      <c r="A5" t="s">
        <v>3</v>
      </c>
      <c r="B5" t="s">
        <v>405</v>
      </c>
    </row>
    <row r="6" spans="1:2" x14ac:dyDescent="0.3">
      <c r="A6" t="s">
        <v>4</v>
      </c>
      <c r="B6" t="s">
        <v>406</v>
      </c>
    </row>
    <row r="7" spans="1:2" x14ac:dyDescent="0.3">
      <c r="A7" t="s">
        <v>5</v>
      </c>
      <c r="B7" t="s">
        <v>407</v>
      </c>
    </row>
    <row r="8" spans="1:2" x14ac:dyDescent="0.3">
      <c r="A8" t="s">
        <v>6</v>
      </c>
      <c r="B8" t="s">
        <v>408</v>
      </c>
    </row>
    <row r="9" spans="1:2" x14ac:dyDescent="0.3">
      <c r="A9" t="s">
        <v>7</v>
      </c>
      <c r="B9" t="s">
        <v>409</v>
      </c>
    </row>
    <row r="10" spans="1:2" x14ac:dyDescent="0.3">
      <c r="A10" t="s">
        <v>8</v>
      </c>
      <c r="B10" t="s">
        <v>410</v>
      </c>
    </row>
    <row r="11" spans="1:2" x14ac:dyDescent="0.3">
      <c r="A11" t="s">
        <v>9</v>
      </c>
      <c r="B11" t="s">
        <v>411</v>
      </c>
    </row>
    <row r="12" spans="1:2" x14ac:dyDescent="0.3">
      <c r="A12" t="s">
        <v>10</v>
      </c>
      <c r="B12" t="s">
        <v>412</v>
      </c>
    </row>
    <row r="13" spans="1:2" x14ac:dyDescent="0.3">
      <c r="A13" t="s">
        <v>11</v>
      </c>
      <c r="B13" t="s">
        <v>413</v>
      </c>
    </row>
    <row r="14" spans="1:2" x14ac:dyDescent="0.3">
      <c r="A14" t="s">
        <v>12</v>
      </c>
      <c r="B14" t="s">
        <v>417</v>
      </c>
    </row>
    <row r="15" spans="1:2" x14ac:dyDescent="0.3">
      <c r="A15" t="s">
        <v>13</v>
      </c>
      <c r="B15" t="s">
        <v>414</v>
      </c>
    </row>
    <row r="16" spans="1:2" x14ac:dyDescent="0.3">
      <c r="A16" t="s">
        <v>14</v>
      </c>
      <c r="B16" t="s">
        <v>418</v>
      </c>
    </row>
    <row r="17" spans="1:2" x14ac:dyDescent="0.3">
      <c r="A17" t="s">
        <v>15</v>
      </c>
      <c r="B17" t="s">
        <v>419</v>
      </c>
    </row>
    <row r="18" spans="1:2" x14ac:dyDescent="0.3">
      <c r="A18" t="s">
        <v>16</v>
      </c>
      <c r="B18" t="s">
        <v>420</v>
      </c>
    </row>
    <row r="19" spans="1:2" x14ac:dyDescent="0.3">
      <c r="A19" t="s">
        <v>17</v>
      </c>
      <c r="B19" t="s">
        <v>421</v>
      </c>
    </row>
    <row r="20" spans="1:2" x14ac:dyDescent="0.3">
      <c r="A20" t="s">
        <v>18</v>
      </c>
      <c r="B20" t="s">
        <v>422</v>
      </c>
    </row>
    <row r="21" spans="1:2" x14ac:dyDescent="0.3">
      <c r="A21" t="s">
        <v>19</v>
      </c>
      <c r="B21" t="s">
        <v>423</v>
      </c>
    </row>
    <row r="22" spans="1:2" x14ac:dyDescent="0.3">
      <c r="A22" t="s">
        <v>20</v>
      </c>
      <c r="B22" t="s">
        <v>424</v>
      </c>
    </row>
    <row r="23" spans="1:2" x14ac:dyDescent="0.3">
      <c r="A23" t="s">
        <v>21</v>
      </c>
      <c r="B23" t="s">
        <v>425</v>
      </c>
    </row>
    <row r="24" spans="1:2" x14ac:dyDescent="0.3">
      <c r="A24" t="s">
        <v>22</v>
      </c>
      <c r="B24" t="s">
        <v>415</v>
      </c>
    </row>
    <row r="25" spans="1:2" x14ac:dyDescent="0.3">
      <c r="A25" t="s">
        <v>23</v>
      </c>
      <c r="B25" t="s">
        <v>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F097E-1DE5-46A9-B4E4-9B78E67EBB60}">
  <dimension ref="A1:R24"/>
  <sheetViews>
    <sheetView workbookViewId="0">
      <selection activeCell="F13" sqref="F13"/>
    </sheetView>
  </sheetViews>
  <sheetFormatPr defaultRowHeight="14.4" x14ac:dyDescent="0.3"/>
  <cols>
    <col min="1" max="1" width="18.33203125" customWidth="1"/>
    <col min="2" max="2" width="11.33203125" customWidth="1"/>
    <col min="3" max="3" width="11.21875" customWidth="1"/>
    <col min="4" max="4" width="13.109375" customWidth="1"/>
    <col min="5" max="5" width="13" customWidth="1"/>
    <col min="6" max="6" width="16.5546875" customWidth="1"/>
    <col min="16" max="17" width="8.88671875" customWidth="1"/>
  </cols>
  <sheetData>
    <row r="1" spans="1:6" ht="23.4" x14ac:dyDescent="0.45">
      <c r="A1" s="11" t="s">
        <v>463</v>
      </c>
      <c r="B1" s="11"/>
      <c r="C1" s="11"/>
      <c r="D1" s="12"/>
      <c r="E1" s="11"/>
      <c r="F1" s="11"/>
    </row>
    <row r="3" spans="1:6" x14ac:dyDescent="0.3">
      <c r="A3" t="s">
        <v>472</v>
      </c>
      <c r="B3" t="s">
        <v>469</v>
      </c>
      <c r="C3" t="s">
        <v>470</v>
      </c>
      <c r="D3" t="s">
        <v>471</v>
      </c>
    </row>
    <row r="4" spans="1:6" x14ac:dyDescent="0.3">
      <c r="A4" t="s">
        <v>464</v>
      </c>
      <c r="B4">
        <v>13.34</v>
      </c>
      <c r="C4">
        <v>368.27</v>
      </c>
      <c r="D4">
        <v>14.17</v>
      </c>
    </row>
    <row r="5" spans="1:6" x14ac:dyDescent="0.3">
      <c r="A5" t="s">
        <v>465</v>
      </c>
      <c r="B5">
        <v>12</v>
      </c>
      <c r="C5">
        <v>340</v>
      </c>
      <c r="D5">
        <v>11</v>
      </c>
    </row>
    <row r="6" spans="1:6" x14ac:dyDescent="0.3">
      <c r="A6" t="s">
        <v>466</v>
      </c>
      <c r="B6">
        <v>0</v>
      </c>
      <c r="C6">
        <v>0</v>
      </c>
      <c r="D6">
        <v>0</v>
      </c>
    </row>
    <row r="7" spans="1:6" x14ac:dyDescent="0.3">
      <c r="A7" t="s">
        <v>467</v>
      </c>
      <c r="B7">
        <v>87</v>
      </c>
      <c r="C7">
        <v>1880</v>
      </c>
      <c r="D7">
        <v>118</v>
      </c>
    </row>
    <row r="8" spans="1:6" x14ac:dyDescent="0.3">
      <c r="A8" t="s">
        <v>468</v>
      </c>
      <c r="B8">
        <v>11.43</v>
      </c>
      <c r="C8">
        <v>240.27</v>
      </c>
      <c r="D8">
        <v>14.21</v>
      </c>
    </row>
    <row r="20" spans="17:18" ht="18" x14ac:dyDescent="0.35">
      <c r="Q20" s="8" t="s">
        <v>461</v>
      </c>
      <c r="R20" s="8" t="s">
        <v>462</v>
      </c>
    </row>
    <row r="21" spans="17:18" ht="15.6" x14ac:dyDescent="0.3">
      <c r="Q21" s="4" t="s">
        <v>426</v>
      </c>
      <c r="R21">
        <f>AVERAGE(Raw_Data!D2:D261)</f>
        <v>368.26923076923077</v>
      </c>
    </row>
    <row r="22" spans="17:18" ht="15.6" x14ac:dyDescent="0.3">
      <c r="Q22" s="4" t="s">
        <v>427</v>
      </c>
      <c r="R22">
        <f>MEDIAN(Raw_Data!D2:D261)</f>
        <v>340</v>
      </c>
    </row>
    <row r="23" spans="17:18" ht="15.6" x14ac:dyDescent="0.3">
      <c r="Q23" s="4" t="s">
        <v>428</v>
      </c>
      <c r="R23">
        <f>_xlfn.MODE.SNGL(Raw_Data!D2:D261)</f>
        <v>0</v>
      </c>
    </row>
    <row r="24" spans="17:18" ht="15.6" x14ac:dyDescent="0.3">
      <c r="Q24" s="4" t="s">
        <v>429</v>
      </c>
      <c r="R24">
        <f>_xlfn.STDEV.P(Raw_Data!D2:D261)</f>
        <v>239.80738387494816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812CE-BFCD-4928-B596-7476731105EF}">
  <dimension ref="A1:K13"/>
  <sheetViews>
    <sheetView workbookViewId="0">
      <selection activeCell="M6" sqref="M6"/>
    </sheetView>
  </sheetViews>
  <sheetFormatPr defaultRowHeight="14.4" x14ac:dyDescent="0.3"/>
  <cols>
    <col min="1" max="1" width="17.5546875" bestFit="1" customWidth="1"/>
    <col min="2" max="2" width="20.77734375" customWidth="1"/>
  </cols>
  <sheetData>
    <row r="1" spans="1:11" x14ac:dyDescent="0.3">
      <c r="C1" s="7" t="s">
        <v>458</v>
      </c>
      <c r="D1" s="3"/>
      <c r="E1" s="3"/>
      <c r="F1" s="3"/>
      <c r="G1" s="3"/>
      <c r="H1" s="3"/>
      <c r="I1" s="3"/>
      <c r="J1" s="3"/>
      <c r="K1" s="3"/>
    </row>
    <row r="2" spans="1:11" x14ac:dyDescent="0.3">
      <c r="C2" s="3"/>
      <c r="D2" s="3"/>
      <c r="E2" s="3"/>
      <c r="F2" s="3"/>
      <c r="G2" s="3"/>
      <c r="H2" s="3"/>
      <c r="I2" s="3"/>
      <c r="J2" s="3"/>
      <c r="K2" s="3"/>
    </row>
    <row r="3" spans="1:11" ht="15.6" x14ac:dyDescent="0.3">
      <c r="A3" s="6" t="s">
        <v>430</v>
      </c>
      <c r="B3" s="5" t="s">
        <v>433</v>
      </c>
    </row>
    <row r="4" spans="1:11" x14ac:dyDescent="0.3">
      <c r="A4" s="1" t="s">
        <v>103</v>
      </c>
      <c r="B4" s="2">
        <v>27.333333333333332</v>
      </c>
    </row>
    <row r="5" spans="1:11" x14ac:dyDescent="0.3">
      <c r="A5" s="1" t="s">
        <v>232</v>
      </c>
      <c r="B5" s="2">
        <v>1.3333333333333333</v>
      </c>
    </row>
    <row r="6" spans="1:11" x14ac:dyDescent="0.3">
      <c r="A6" s="1" t="s">
        <v>24</v>
      </c>
      <c r="B6" s="2">
        <v>19.857142857142858</v>
      </c>
    </row>
    <row r="7" spans="1:11" x14ac:dyDescent="0.3">
      <c r="A7" s="1" t="s">
        <v>131</v>
      </c>
      <c r="B7" s="2">
        <v>29.111111111111111</v>
      </c>
    </row>
    <row r="8" spans="1:11" x14ac:dyDescent="0.3">
      <c r="A8" s="1" t="s">
        <v>268</v>
      </c>
      <c r="B8" s="2">
        <v>8.8631578947368421</v>
      </c>
    </row>
    <row r="9" spans="1:11" x14ac:dyDescent="0.3">
      <c r="A9" s="1" t="s">
        <v>219</v>
      </c>
      <c r="B9" s="2">
        <v>4</v>
      </c>
    </row>
    <row r="10" spans="1:11" x14ac:dyDescent="0.3">
      <c r="A10" s="1" t="s">
        <v>183</v>
      </c>
      <c r="B10" s="2">
        <v>19.833333333333332</v>
      </c>
    </row>
    <row r="11" spans="1:11" x14ac:dyDescent="0.3">
      <c r="A11" s="1" t="s">
        <v>366</v>
      </c>
      <c r="B11" s="2">
        <v>10.857142857142858</v>
      </c>
    </row>
    <row r="12" spans="1:11" x14ac:dyDescent="0.3">
      <c r="A12" s="1" t="s">
        <v>194</v>
      </c>
      <c r="B12" s="2">
        <v>8.384615384615385</v>
      </c>
    </row>
    <row r="13" spans="1:11" x14ac:dyDescent="0.3">
      <c r="A13" s="1" t="s">
        <v>431</v>
      </c>
      <c r="B13" s="2">
        <v>13.338461538461539</v>
      </c>
    </row>
  </sheetData>
  <mergeCells count="1">
    <mergeCell ref="C1:K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63CE5-1F8A-4F72-B2FB-76984B2E7B80}">
  <dimension ref="A1:K13"/>
  <sheetViews>
    <sheetView workbookViewId="0">
      <selection activeCell="G29" sqref="G29"/>
    </sheetView>
  </sheetViews>
  <sheetFormatPr defaultRowHeight="14.4" x14ac:dyDescent="0.3"/>
  <cols>
    <col min="1" max="1" width="17.5546875" bestFit="1" customWidth="1"/>
    <col min="2" max="2" width="20.44140625" customWidth="1"/>
  </cols>
  <sheetData>
    <row r="1" spans="1:11" x14ac:dyDescent="0.3">
      <c r="C1" s="7" t="s">
        <v>459</v>
      </c>
      <c r="D1" s="3"/>
      <c r="E1" s="3"/>
      <c r="F1" s="3"/>
      <c r="G1" s="3"/>
      <c r="H1" s="3"/>
      <c r="I1" s="3"/>
      <c r="J1" s="3"/>
      <c r="K1" s="3"/>
    </row>
    <row r="2" spans="1:11" x14ac:dyDescent="0.3">
      <c r="C2" s="3"/>
      <c r="D2" s="3"/>
      <c r="E2" s="3"/>
      <c r="F2" s="3"/>
      <c r="G2" s="3"/>
      <c r="H2" s="3"/>
      <c r="I2" s="3"/>
      <c r="J2" s="3"/>
      <c r="K2" s="3"/>
    </row>
    <row r="3" spans="1:11" ht="15.6" x14ac:dyDescent="0.3">
      <c r="A3" s="6" t="s">
        <v>430</v>
      </c>
      <c r="B3" s="5" t="s">
        <v>432</v>
      </c>
    </row>
    <row r="4" spans="1:11" x14ac:dyDescent="0.3">
      <c r="A4" s="1" t="s">
        <v>103</v>
      </c>
      <c r="B4" s="2">
        <v>494</v>
      </c>
    </row>
    <row r="5" spans="1:11" x14ac:dyDescent="0.3">
      <c r="A5" s="1" t="s">
        <v>232</v>
      </c>
      <c r="B5" s="2">
        <v>113.70370370370371</v>
      </c>
    </row>
    <row r="6" spans="1:11" x14ac:dyDescent="0.3">
      <c r="A6" s="1" t="s">
        <v>24</v>
      </c>
      <c r="B6" s="2">
        <v>526.66666666666663</v>
      </c>
    </row>
    <row r="7" spans="1:11" x14ac:dyDescent="0.3">
      <c r="A7" s="1" t="s">
        <v>131</v>
      </c>
      <c r="B7" s="2">
        <v>552.96296296296293</v>
      </c>
    </row>
    <row r="8" spans="1:11" x14ac:dyDescent="0.3">
      <c r="A8" s="1" t="s">
        <v>268</v>
      </c>
      <c r="B8" s="2">
        <v>283.89473684210526</v>
      </c>
    </row>
    <row r="9" spans="1:11" x14ac:dyDescent="0.3">
      <c r="A9" s="1" t="s">
        <v>219</v>
      </c>
      <c r="B9" s="2">
        <v>222.14285714285714</v>
      </c>
    </row>
    <row r="10" spans="1:11" x14ac:dyDescent="0.3">
      <c r="A10" s="1" t="s">
        <v>183</v>
      </c>
      <c r="B10" s="2">
        <v>270</v>
      </c>
    </row>
    <row r="11" spans="1:11" x14ac:dyDescent="0.3">
      <c r="A11" s="1" t="s">
        <v>366</v>
      </c>
      <c r="B11" s="2">
        <v>531.42857142857144</v>
      </c>
    </row>
    <row r="12" spans="1:11" x14ac:dyDescent="0.3">
      <c r="A12" s="1" t="s">
        <v>194</v>
      </c>
      <c r="B12" s="2">
        <v>245.76923076923077</v>
      </c>
    </row>
    <row r="13" spans="1:11" x14ac:dyDescent="0.3">
      <c r="A13" s="1" t="s">
        <v>431</v>
      </c>
      <c r="B13" s="2">
        <v>368.26923076923077</v>
      </c>
    </row>
  </sheetData>
  <mergeCells count="1">
    <mergeCell ref="C1:K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47FEE-5E20-4F5D-9D5A-F84345774E8D}">
  <dimension ref="A1:K13"/>
  <sheetViews>
    <sheetView workbookViewId="0">
      <selection activeCell="O5" sqref="O5"/>
    </sheetView>
  </sheetViews>
  <sheetFormatPr defaultRowHeight="14.4" x14ac:dyDescent="0.3"/>
  <cols>
    <col min="1" max="1" width="17.5546875" bestFit="1" customWidth="1"/>
    <col min="2" max="2" width="20.33203125" customWidth="1"/>
  </cols>
  <sheetData>
    <row r="1" spans="1:11" x14ac:dyDescent="0.3">
      <c r="C1" s="7" t="s">
        <v>460</v>
      </c>
      <c r="D1" s="3"/>
      <c r="E1" s="3"/>
      <c r="F1" s="3"/>
      <c r="G1" s="3"/>
      <c r="H1" s="3"/>
      <c r="I1" s="3"/>
      <c r="J1" s="3"/>
      <c r="K1" s="3"/>
    </row>
    <row r="2" spans="1:11" x14ac:dyDescent="0.3">
      <c r="C2" s="3"/>
      <c r="D2" s="3"/>
      <c r="E2" s="3"/>
      <c r="F2" s="3"/>
      <c r="G2" s="3"/>
      <c r="H2" s="3"/>
      <c r="I2" s="3"/>
      <c r="J2" s="3"/>
      <c r="K2" s="3"/>
    </row>
    <row r="3" spans="1:11" ht="15.6" x14ac:dyDescent="0.3">
      <c r="A3" s="6" t="s">
        <v>430</v>
      </c>
      <c r="B3" s="5" t="s">
        <v>434</v>
      </c>
    </row>
    <row r="4" spans="1:11" x14ac:dyDescent="0.3">
      <c r="A4" s="1" t="s">
        <v>103</v>
      </c>
      <c r="B4" s="2">
        <v>24.866666666666667</v>
      </c>
    </row>
    <row r="5" spans="1:11" x14ac:dyDescent="0.3">
      <c r="A5" s="1" t="s">
        <v>232</v>
      </c>
      <c r="B5" s="2">
        <v>9.2592592592592587E-2</v>
      </c>
    </row>
    <row r="6" spans="1:11" x14ac:dyDescent="0.3">
      <c r="A6" s="1" t="s">
        <v>24</v>
      </c>
      <c r="B6" s="2">
        <v>27.69047619047619</v>
      </c>
    </row>
    <row r="7" spans="1:11" x14ac:dyDescent="0.3">
      <c r="A7" s="1" t="s">
        <v>131</v>
      </c>
      <c r="B7" s="2">
        <v>26.962962962962962</v>
      </c>
    </row>
    <row r="8" spans="1:11" x14ac:dyDescent="0.3">
      <c r="A8" s="1" t="s">
        <v>268</v>
      </c>
      <c r="B8" s="2">
        <v>8.0210526315789465</v>
      </c>
    </row>
    <row r="9" spans="1:11" x14ac:dyDescent="0.3">
      <c r="A9" s="1" t="s">
        <v>219</v>
      </c>
      <c r="B9" s="2">
        <v>7.3571428571428568</v>
      </c>
    </row>
    <row r="10" spans="1:11" x14ac:dyDescent="0.3">
      <c r="A10" s="1" t="s">
        <v>183</v>
      </c>
      <c r="B10" s="2">
        <v>11.75</v>
      </c>
    </row>
    <row r="11" spans="1:11" x14ac:dyDescent="0.3">
      <c r="A11" s="1" t="s">
        <v>366</v>
      </c>
      <c r="B11" s="2">
        <v>14.125</v>
      </c>
    </row>
    <row r="12" spans="1:11" x14ac:dyDescent="0.3">
      <c r="A12" s="1" t="s">
        <v>194</v>
      </c>
      <c r="B12" s="2">
        <v>10.538461538461538</v>
      </c>
    </row>
    <row r="13" spans="1:11" x14ac:dyDescent="0.3">
      <c r="A13" s="1" t="s">
        <v>431</v>
      </c>
      <c r="B13" s="2">
        <v>14.165384615384616</v>
      </c>
    </row>
  </sheetData>
  <mergeCells count="1">
    <mergeCell ref="C1:K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5421-046C-4A75-8D6D-3DE79EBA7058}">
  <dimension ref="A1:L18"/>
  <sheetViews>
    <sheetView workbookViewId="0">
      <selection activeCell="J16" sqref="J16"/>
    </sheetView>
  </sheetViews>
  <sheetFormatPr defaultRowHeight="14.4" x14ac:dyDescent="0.3"/>
  <cols>
    <col min="1" max="1" width="19" customWidth="1"/>
    <col min="2" max="2" width="16.6640625" customWidth="1"/>
    <col min="3" max="3" width="15.6640625" customWidth="1"/>
    <col min="4" max="4" width="15.77734375" customWidth="1"/>
    <col min="5" max="5" width="15.33203125" customWidth="1"/>
    <col min="6" max="6" width="13.77734375" customWidth="1"/>
  </cols>
  <sheetData>
    <row r="1" spans="1:12" ht="23.4" x14ac:dyDescent="0.45">
      <c r="A1" s="9" t="s">
        <v>436</v>
      </c>
      <c r="B1" s="9"/>
      <c r="C1" s="9"/>
      <c r="D1" s="9"/>
      <c r="E1" s="9"/>
      <c r="F1" s="9"/>
    </row>
    <row r="3" spans="1:12" ht="18" x14ac:dyDescent="0.35">
      <c r="A3" s="8" t="s">
        <v>437</v>
      </c>
    </row>
    <row r="4" spans="1:12" ht="15.6" x14ac:dyDescent="0.3">
      <c r="A4" s="5" t="s">
        <v>438</v>
      </c>
      <c r="B4" s="5" t="s">
        <v>439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15.6" x14ac:dyDescent="0.3">
      <c r="A5" s="5" t="s">
        <v>435</v>
      </c>
      <c r="B5" s="5" t="s">
        <v>440</v>
      </c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15.6" x14ac:dyDescent="0.3">
      <c r="A6" s="5" t="s">
        <v>441</v>
      </c>
      <c r="B6" s="5" t="s">
        <v>442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15.6" x14ac:dyDescent="0.3">
      <c r="A7" s="5" t="s">
        <v>443</v>
      </c>
      <c r="B7" s="5" t="s">
        <v>444</v>
      </c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ht="15.6" x14ac:dyDescent="0.3">
      <c r="A8" s="5" t="s">
        <v>445</v>
      </c>
      <c r="B8" s="5" t="s">
        <v>446</v>
      </c>
      <c r="C8" s="5"/>
      <c r="D8" s="5"/>
      <c r="E8" s="5"/>
      <c r="F8" s="5"/>
      <c r="G8" s="5"/>
      <c r="H8" s="5"/>
      <c r="I8" s="5"/>
      <c r="J8" s="5"/>
      <c r="K8" s="5"/>
      <c r="L8" s="5"/>
    </row>
    <row r="10" spans="1:12" ht="18" x14ac:dyDescent="0.35">
      <c r="A10" s="10" t="s">
        <v>447</v>
      </c>
      <c r="B10" s="10"/>
    </row>
    <row r="11" spans="1:12" ht="15.6" x14ac:dyDescent="0.3">
      <c r="A11" s="5" t="s">
        <v>449</v>
      </c>
      <c r="B11" s="5" t="s">
        <v>448</v>
      </c>
      <c r="C11" s="5"/>
      <c r="D11" s="5"/>
      <c r="E11" s="5"/>
      <c r="F11" s="5"/>
    </row>
    <row r="12" spans="1:12" ht="15.6" x14ac:dyDescent="0.3">
      <c r="A12" s="5" t="s">
        <v>450</v>
      </c>
      <c r="B12" s="5" t="s">
        <v>453</v>
      </c>
      <c r="C12" s="5"/>
      <c r="D12" s="5"/>
      <c r="E12" s="5"/>
      <c r="F12" s="5"/>
    </row>
    <row r="13" spans="1:12" ht="15.6" x14ac:dyDescent="0.3">
      <c r="A13" s="5" t="s">
        <v>451</v>
      </c>
      <c r="B13" s="5" t="s">
        <v>454</v>
      </c>
      <c r="C13" s="5"/>
      <c r="D13" s="5"/>
      <c r="E13" s="5"/>
      <c r="F13" s="5"/>
    </row>
    <row r="14" spans="1:12" ht="15.6" x14ac:dyDescent="0.3">
      <c r="A14" s="5" t="s">
        <v>452</v>
      </c>
      <c r="B14" s="5" t="s">
        <v>455</v>
      </c>
      <c r="C14" s="5"/>
      <c r="D14" s="5"/>
      <c r="E14" s="5"/>
      <c r="F14" s="5"/>
    </row>
    <row r="16" spans="1:12" ht="18" x14ac:dyDescent="0.35">
      <c r="A16" s="8" t="s">
        <v>456</v>
      </c>
    </row>
    <row r="17" spans="1:6" ht="15.6" x14ac:dyDescent="0.3">
      <c r="A17" s="5" t="s">
        <v>457</v>
      </c>
      <c r="B17" s="5"/>
      <c r="C17" s="5"/>
      <c r="D17" s="5"/>
      <c r="E17" s="5"/>
      <c r="F17" s="5"/>
    </row>
    <row r="18" spans="1:6" ht="15.6" x14ac:dyDescent="0.3">
      <c r="A18" s="5"/>
      <c r="B18" s="5"/>
      <c r="C18" s="5"/>
      <c r="D18" s="5"/>
      <c r="E18" s="5"/>
      <c r="F18" s="5"/>
    </row>
  </sheetData>
  <mergeCells count="2">
    <mergeCell ref="A1:F1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Data_Description</vt:lpstr>
      <vt:lpstr>Statistics </vt:lpstr>
      <vt:lpstr>Protein_Analysis</vt:lpstr>
      <vt:lpstr>Calories_Analysis</vt:lpstr>
      <vt:lpstr>Fats_Analysis</vt:lpstr>
      <vt:lpstr>Insights_Recommendations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Ravnit singh</dc:creator>
  <cp:lastModifiedBy>Ravnit Singh</cp:lastModifiedBy>
  <dcterms:created xsi:type="dcterms:W3CDTF">2026-02-26T08:57:29Z</dcterms:created>
  <dcterms:modified xsi:type="dcterms:W3CDTF">2026-02-26T08:57:29Z</dcterms:modified>
</cp:coreProperties>
</file>